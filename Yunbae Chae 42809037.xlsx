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C:\Users\Valued Customer\OneDrive\Desktop\"/>
    </mc:Choice>
  </mc:AlternateContent>
  <xr:revisionPtr revIDLastSave="0" documentId="13_ncr:1_{24353084-A3F7-4F91-933B-439733E83837}" xr6:coauthVersionLast="47" xr6:coauthVersionMax="47" xr10:uidLastSave="{00000000-0000-0000-0000-000000000000}"/>
  <bookViews>
    <workbookView xWindow="25800" yWindow="0" windowWidth="25800" windowHeight="21000" activeTab="1" xr2:uid="{3F0E86B2-3377-4F15-9565-6679FB4E44B7}"/>
  </bookViews>
  <sheets>
    <sheet name="Data" sheetId="1" r:id="rId1"/>
    <sheet name="Templat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4" i="1" l="1"/>
  <c r="D64" i="1" a="1"/>
  <c r="D64" i="1" s="1"/>
  <c r="C64" i="1" a="1"/>
  <c r="C64" i="1" s="1"/>
  <c r="B64" i="1" a="1"/>
  <c r="B64" i="1" s="1"/>
  <c r="AO43" i="1"/>
  <c r="AO44" i="1"/>
  <c r="AO45" i="1"/>
  <c r="AO46" i="1"/>
  <c r="AO47" i="1"/>
  <c r="AO48" i="1"/>
  <c r="AO49" i="1"/>
  <c r="AO50" i="1"/>
  <c r="AO51" i="1"/>
  <c r="AO52" i="1"/>
  <c r="AO53" i="1"/>
  <c r="AO54" i="1"/>
  <c r="AO55" i="1"/>
  <c r="AO56" i="1"/>
  <c r="AO57" i="1"/>
  <c r="AO58" i="1"/>
  <c r="AO59" i="1"/>
  <c r="AO60" i="1"/>
  <c r="AO61" i="1"/>
  <c r="AO42" i="1"/>
  <c r="AN43" i="1"/>
  <c r="AN44" i="1"/>
  <c r="AN45" i="1"/>
  <c r="AN46" i="1"/>
  <c r="AN47" i="1"/>
  <c r="AN48" i="1"/>
  <c r="AN49" i="1"/>
  <c r="AN50" i="1"/>
  <c r="AN51" i="1"/>
  <c r="AN52" i="1"/>
  <c r="AN53" i="1"/>
  <c r="AN54" i="1"/>
  <c r="AN55" i="1"/>
  <c r="AN56" i="1"/>
  <c r="AN57" i="1"/>
  <c r="AN58" i="1"/>
  <c r="AN59" i="1"/>
  <c r="AN60" i="1"/>
  <c r="AN61" i="1"/>
  <c r="AN42" i="1"/>
  <c r="AL43" i="1"/>
  <c r="AL44" i="1"/>
  <c r="AL45" i="1"/>
  <c r="AL46" i="1"/>
  <c r="AL47" i="1"/>
  <c r="AL48" i="1"/>
  <c r="AL49" i="1"/>
  <c r="AL50" i="1"/>
  <c r="AL51" i="1"/>
  <c r="AL52" i="1"/>
  <c r="AL53" i="1"/>
  <c r="AL54" i="1"/>
  <c r="AL55" i="1"/>
  <c r="AL56" i="1"/>
  <c r="AL57" i="1"/>
  <c r="AL58" i="1"/>
  <c r="AL59" i="1"/>
  <c r="AL60" i="1"/>
  <c r="AL61" i="1"/>
  <c r="AL42" i="1"/>
  <c r="AK43" i="1"/>
  <c r="AK44" i="1"/>
  <c r="AK45" i="1"/>
  <c r="AK46" i="1"/>
  <c r="AK47" i="1"/>
  <c r="AK48" i="1"/>
  <c r="AK49" i="1"/>
  <c r="AK50" i="1"/>
  <c r="AK51" i="1"/>
  <c r="AK52" i="1"/>
  <c r="AK53" i="1"/>
  <c r="AK54" i="1"/>
  <c r="AK55" i="1"/>
  <c r="AK56" i="1"/>
  <c r="AK57" i="1"/>
  <c r="AK58" i="1"/>
  <c r="AK59" i="1"/>
  <c r="AK60" i="1"/>
  <c r="AK61" i="1"/>
  <c r="AK42" i="1"/>
  <c r="AC61" i="1"/>
  <c r="AD61" i="1"/>
  <c r="AE61" i="1"/>
  <c r="AF61" i="1"/>
  <c r="AG61" i="1"/>
  <c r="AH61" i="1"/>
  <c r="AI61" i="1"/>
  <c r="AC43" i="1"/>
  <c r="AD43" i="1"/>
  <c r="AE43" i="1"/>
  <c r="AF43" i="1"/>
  <c r="AG43" i="1"/>
  <c r="AH43" i="1"/>
  <c r="AI43" i="1"/>
  <c r="AC44" i="1"/>
  <c r="AD44" i="1"/>
  <c r="AE44" i="1"/>
  <c r="AF44" i="1"/>
  <c r="AG44" i="1"/>
  <c r="AH44" i="1"/>
  <c r="AI44" i="1"/>
  <c r="AC45" i="1"/>
  <c r="AD45" i="1"/>
  <c r="AE45" i="1"/>
  <c r="AF45" i="1"/>
  <c r="AG45" i="1"/>
  <c r="AH45" i="1"/>
  <c r="AI45" i="1"/>
  <c r="AC46" i="1"/>
  <c r="AD46" i="1"/>
  <c r="AE46" i="1"/>
  <c r="AF46" i="1"/>
  <c r="AG46" i="1"/>
  <c r="AH46" i="1"/>
  <c r="AI46" i="1"/>
  <c r="AC47" i="1"/>
  <c r="AD47" i="1"/>
  <c r="AE47" i="1"/>
  <c r="AF47" i="1"/>
  <c r="AG47" i="1"/>
  <c r="AH47" i="1"/>
  <c r="AI47" i="1"/>
  <c r="AC48" i="1"/>
  <c r="AD48" i="1"/>
  <c r="AE48" i="1"/>
  <c r="AF48" i="1"/>
  <c r="AG48" i="1"/>
  <c r="AH48" i="1"/>
  <c r="AI48" i="1"/>
  <c r="AC49" i="1"/>
  <c r="AD49" i="1"/>
  <c r="AE49" i="1"/>
  <c r="AF49" i="1"/>
  <c r="AG49" i="1"/>
  <c r="AH49" i="1"/>
  <c r="AI49" i="1"/>
  <c r="AC50" i="1"/>
  <c r="AD50" i="1"/>
  <c r="AE50" i="1"/>
  <c r="AF50" i="1"/>
  <c r="AG50" i="1"/>
  <c r="AH50" i="1"/>
  <c r="AI50" i="1"/>
  <c r="AC51" i="1"/>
  <c r="AD51" i="1"/>
  <c r="AE51" i="1"/>
  <c r="AF51" i="1"/>
  <c r="AG51" i="1"/>
  <c r="AH51" i="1"/>
  <c r="AI51" i="1"/>
  <c r="AC52" i="1"/>
  <c r="AD52" i="1"/>
  <c r="AE52" i="1"/>
  <c r="AF52" i="1"/>
  <c r="AG52" i="1"/>
  <c r="AH52" i="1"/>
  <c r="AI52" i="1"/>
  <c r="AC53" i="1"/>
  <c r="AD53" i="1"/>
  <c r="AE53" i="1"/>
  <c r="AF53" i="1"/>
  <c r="AG53" i="1"/>
  <c r="AH53" i="1"/>
  <c r="AI53" i="1"/>
  <c r="AC54" i="1"/>
  <c r="AD54" i="1"/>
  <c r="AE54" i="1"/>
  <c r="AF54" i="1"/>
  <c r="AG54" i="1"/>
  <c r="AH54" i="1"/>
  <c r="AI54" i="1"/>
  <c r="AC55" i="1"/>
  <c r="AD55" i="1"/>
  <c r="AE55" i="1"/>
  <c r="AF55" i="1"/>
  <c r="AG55" i="1"/>
  <c r="AH55" i="1"/>
  <c r="AI55" i="1"/>
  <c r="AC56" i="1"/>
  <c r="AD56" i="1"/>
  <c r="AE56" i="1"/>
  <c r="AF56" i="1"/>
  <c r="AG56" i="1"/>
  <c r="AH56" i="1"/>
  <c r="AI56" i="1"/>
  <c r="AC57" i="1"/>
  <c r="AD57" i="1"/>
  <c r="AE57" i="1"/>
  <c r="AF57" i="1"/>
  <c r="AG57" i="1"/>
  <c r="AH57" i="1"/>
  <c r="AI57" i="1"/>
  <c r="AC58" i="1"/>
  <c r="AD58" i="1"/>
  <c r="AE58" i="1"/>
  <c r="AF58" i="1"/>
  <c r="AG58" i="1"/>
  <c r="AH58" i="1"/>
  <c r="AI58" i="1"/>
  <c r="AC59" i="1"/>
  <c r="AD59" i="1"/>
  <c r="AE59" i="1"/>
  <c r="AF59" i="1"/>
  <c r="AG59" i="1"/>
  <c r="AH59" i="1"/>
  <c r="AI59" i="1"/>
  <c r="AC60" i="1"/>
  <c r="AD60" i="1"/>
  <c r="AE60" i="1"/>
  <c r="AF60" i="1"/>
  <c r="AG60" i="1"/>
  <c r="AH60" i="1"/>
  <c r="AI60" i="1"/>
  <c r="AD42" i="1"/>
  <c r="AE42" i="1"/>
  <c r="AF42" i="1"/>
  <c r="AG42" i="1"/>
  <c r="AH42" i="1"/>
  <c r="AI42" i="1"/>
  <c r="AC42" i="1"/>
  <c r="R43" i="1"/>
  <c r="R44" i="1"/>
  <c r="R45" i="1"/>
  <c r="R46" i="1"/>
  <c r="R47" i="1"/>
  <c r="R48" i="1"/>
  <c r="R49" i="1"/>
  <c r="R50" i="1"/>
  <c r="R51" i="1"/>
  <c r="R52" i="1"/>
  <c r="R53" i="1"/>
  <c r="R54" i="1"/>
  <c r="R55" i="1"/>
  <c r="R56" i="1"/>
  <c r="R57" i="1"/>
  <c r="R58" i="1"/>
  <c r="R59" i="1"/>
  <c r="R60" i="1"/>
  <c r="R61" i="1"/>
  <c r="R42" i="1"/>
  <c r="Q43" i="1"/>
  <c r="Q44" i="1"/>
  <c r="Q45" i="1"/>
  <c r="Q46" i="1"/>
  <c r="Q47" i="1"/>
  <c r="Q48" i="1"/>
  <c r="Q49" i="1"/>
  <c r="Q50" i="1"/>
  <c r="Q51" i="1"/>
  <c r="Q52" i="1"/>
  <c r="Q53" i="1"/>
  <c r="Q54" i="1"/>
  <c r="Q55" i="1"/>
  <c r="Q56" i="1"/>
  <c r="Q57" i="1"/>
  <c r="Q58" i="1"/>
  <c r="Q59" i="1"/>
  <c r="Q60" i="1"/>
  <c r="Q61" i="1"/>
  <c r="Q42" i="1"/>
  <c r="O43" i="1"/>
  <c r="P43" i="1"/>
  <c r="O44" i="1"/>
  <c r="P44" i="1"/>
  <c r="O45" i="1"/>
  <c r="P45" i="1"/>
  <c r="O46" i="1"/>
  <c r="P46" i="1"/>
  <c r="O47" i="1"/>
  <c r="P47" i="1"/>
  <c r="O48" i="1"/>
  <c r="P48" i="1"/>
  <c r="O49" i="1"/>
  <c r="P49" i="1"/>
  <c r="O50" i="1"/>
  <c r="P50" i="1"/>
  <c r="O51" i="1"/>
  <c r="P51" i="1"/>
  <c r="O52" i="1"/>
  <c r="P52" i="1"/>
  <c r="O53" i="1"/>
  <c r="P53" i="1"/>
  <c r="O54" i="1"/>
  <c r="P54" i="1"/>
  <c r="O55" i="1"/>
  <c r="P55" i="1"/>
  <c r="O56" i="1"/>
  <c r="P56" i="1"/>
  <c r="O57" i="1"/>
  <c r="P57" i="1"/>
  <c r="O58" i="1"/>
  <c r="P58" i="1"/>
  <c r="O59" i="1"/>
  <c r="P59" i="1"/>
  <c r="O60" i="1"/>
  <c r="P60" i="1"/>
  <c r="O61" i="1"/>
  <c r="P61" i="1"/>
  <c r="P42" i="1"/>
  <c r="O42" i="1"/>
  <c r="B43" i="1"/>
  <c r="C43" i="1"/>
  <c r="D43" i="1"/>
  <c r="E43" i="1"/>
  <c r="F43" i="1"/>
  <c r="G43" i="1"/>
  <c r="H43" i="1"/>
  <c r="I43" i="1"/>
  <c r="J43" i="1"/>
  <c r="B44" i="1"/>
  <c r="C44" i="1"/>
  <c r="D44" i="1"/>
  <c r="E44" i="1"/>
  <c r="F44" i="1"/>
  <c r="G44" i="1"/>
  <c r="H44" i="1"/>
  <c r="I44" i="1"/>
  <c r="J44" i="1"/>
  <c r="B45" i="1"/>
  <c r="C45" i="1"/>
  <c r="D45" i="1"/>
  <c r="E45" i="1"/>
  <c r="F45" i="1"/>
  <c r="G45" i="1"/>
  <c r="H45" i="1"/>
  <c r="I45" i="1"/>
  <c r="J45" i="1"/>
  <c r="B46" i="1"/>
  <c r="C46" i="1"/>
  <c r="D46" i="1"/>
  <c r="E46" i="1"/>
  <c r="F46" i="1"/>
  <c r="G46" i="1"/>
  <c r="H46" i="1"/>
  <c r="I46" i="1"/>
  <c r="J46" i="1"/>
  <c r="B47" i="1"/>
  <c r="C47" i="1"/>
  <c r="D47" i="1"/>
  <c r="E47" i="1"/>
  <c r="F47" i="1"/>
  <c r="G47" i="1"/>
  <c r="H47" i="1"/>
  <c r="I47" i="1"/>
  <c r="J47" i="1"/>
  <c r="B48" i="1"/>
  <c r="C48" i="1"/>
  <c r="D48" i="1"/>
  <c r="E48" i="1"/>
  <c r="F48" i="1"/>
  <c r="G48" i="1"/>
  <c r="H48" i="1"/>
  <c r="I48" i="1"/>
  <c r="J48" i="1"/>
  <c r="B49" i="1"/>
  <c r="C49" i="1"/>
  <c r="D49" i="1"/>
  <c r="E49" i="1"/>
  <c r="F49" i="1"/>
  <c r="G49" i="1"/>
  <c r="H49" i="1"/>
  <c r="I49" i="1"/>
  <c r="J49" i="1"/>
  <c r="B50" i="1"/>
  <c r="C50" i="1"/>
  <c r="D50" i="1"/>
  <c r="E50" i="1"/>
  <c r="F50" i="1"/>
  <c r="G50" i="1"/>
  <c r="H50" i="1"/>
  <c r="I50" i="1"/>
  <c r="J50" i="1"/>
  <c r="B51" i="1"/>
  <c r="C51" i="1"/>
  <c r="D51" i="1"/>
  <c r="E51" i="1"/>
  <c r="F51" i="1"/>
  <c r="G51" i="1"/>
  <c r="H51" i="1"/>
  <c r="I51" i="1"/>
  <c r="J51" i="1"/>
  <c r="B52" i="1"/>
  <c r="C52" i="1"/>
  <c r="D52" i="1"/>
  <c r="E52" i="1"/>
  <c r="F52" i="1"/>
  <c r="G52" i="1"/>
  <c r="H52" i="1"/>
  <c r="I52" i="1"/>
  <c r="J52" i="1"/>
  <c r="B53" i="1"/>
  <c r="C53" i="1"/>
  <c r="D53" i="1"/>
  <c r="E53" i="1"/>
  <c r="F53" i="1"/>
  <c r="G53" i="1"/>
  <c r="H53" i="1"/>
  <c r="I53" i="1"/>
  <c r="J53" i="1"/>
  <c r="B54" i="1"/>
  <c r="C54" i="1"/>
  <c r="D54" i="1"/>
  <c r="E54" i="1"/>
  <c r="F54" i="1"/>
  <c r="G54" i="1"/>
  <c r="H54" i="1"/>
  <c r="I54" i="1"/>
  <c r="J54" i="1"/>
  <c r="B55" i="1"/>
  <c r="C55" i="1"/>
  <c r="D55" i="1"/>
  <c r="E55" i="1"/>
  <c r="F55" i="1"/>
  <c r="G55" i="1"/>
  <c r="H55" i="1"/>
  <c r="I55" i="1"/>
  <c r="J55" i="1"/>
  <c r="B56" i="1"/>
  <c r="C56" i="1"/>
  <c r="D56" i="1"/>
  <c r="E56" i="1"/>
  <c r="F56" i="1"/>
  <c r="G56" i="1"/>
  <c r="H56" i="1"/>
  <c r="I56" i="1"/>
  <c r="J56" i="1"/>
  <c r="B57" i="1"/>
  <c r="C57" i="1"/>
  <c r="D57" i="1"/>
  <c r="E57" i="1"/>
  <c r="F57" i="1"/>
  <c r="G57" i="1"/>
  <c r="H57" i="1"/>
  <c r="I57" i="1"/>
  <c r="J57" i="1"/>
  <c r="B58" i="1"/>
  <c r="C58" i="1"/>
  <c r="D58" i="1"/>
  <c r="E58" i="1"/>
  <c r="F58" i="1"/>
  <c r="G58" i="1"/>
  <c r="H58" i="1"/>
  <c r="I58" i="1"/>
  <c r="J58" i="1"/>
  <c r="B59" i="1"/>
  <c r="C59" i="1"/>
  <c r="D59" i="1"/>
  <c r="E59" i="1"/>
  <c r="F59" i="1"/>
  <c r="G59" i="1"/>
  <c r="H59" i="1"/>
  <c r="I59" i="1"/>
  <c r="J59" i="1"/>
  <c r="B60" i="1"/>
  <c r="C60" i="1"/>
  <c r="D60" i="1"/>
  <c r="E60" i="1"/>
  <c r="F60" i="1"/>
  <c r="G60" i="1"/>
  <c r="H60" i="1"/>
  <c r="I60" i="1"/>
  <c r="J60" i="1"/>
  <c r="B61" i="1"/>
  <c r="C61" i="1"/>
  <c r="D61" i="1"/>
  <c r="E61" i="1"/>
  <c r="F61" i="1"/>
  <c r="G61" i="1"/>
  <c r="H61" i="1"/>
  <c r="I61" i="1"/>
  <c r="J61" i="1"/>
  <c r="C42" i="1"/>
  <c r="D42" i="1"/>
  <c r="E42" i="1"/>
  <c r="F42" i="1"/>
  <c r="G42" i="1"/>
  <c r="H42" i="1"/>
  <c r="I42" i="1"/>
  <c r="J42" i="1"/>
  <c r="B42" i="1"/>
  <c r="AU30" i="1"/>
  <c r="AU29" i="1"/>
  <c r="AT30" i="1"/>
  <c r="AT29" i="1"/>
  <c r="AU23" i="1"/>
  <c r="AV23" i="1" s="1"/>
  <c r="AU22" i="1"/>
  <c r="AT23" i="1"/>
  <c r="AT22" i="1"/>
  <c r="AS22" i="1"/>
  <c r="AS23" i="1"/>
  <c r="AR23" i="1"/>
  <c r="AR22" i="1"/>
  <c r="AQ23" i="1"/>
  <c r="AQ22" i="1"/>
  <c r="V20" i="1"/>
  <c r="W20" i="1"/>
  <c r="X20" i="1"/>
  <c r="Y20" i="1"/>
  <c r="Z20" i="1"/>
  <c r="AA20" i="1"/>
  <c r="AB20" i="1"/>
  <c r="AC20" i="1"/>
  <c r="V21" i="1"/>
  <c r="W21" i="1"/>
  <c r="X21" i="1"/>
  <c r="Y21" i="1"/>
  <c r="Z21" i="1"/>
  <c r="AA21" i="1"/>
  <c r="AB21" i="1"/>
  <c r="AC21" i="1"/>
  <c r="V22" i="1"/>
  <c r="W22" i="1"/>
  <c r="X22" i="1"/>
  <c r="Y22" i="1"/>
  <c r="AE22" i="1" s="1"/>
  <c r="Z22" i="1"/>
  <c r="AA22" i="1"/>
  <c r="AB22" i="1"/>
  <c r="AC22" i="1"/>
  <c r="V23" i="1"/>
  <c r="W23" i="1"/>
  <c r="X23" i="1"/>
  <c r="Y23" i="1"/>
  <c r="Z23" i="1"/>
  <c r="AA23" i="1"/>
  <c r="AB23" i="1"/>
  <c r="AC23" i="1"/>
  <c r="V24" i="1"/>
  <c r="W24" i="1"/>
  <c r="X24" i="1"/>
  <c r="Y24" i="1"/>
  <c r="Z24" i="1"/>
  <c r="AA24" i="1"/>
  <c r="AB24" i="1"/>
  <c r="AC24" i="1"/>
  <c r="V25" i="1"/>
  <c r="W25" i="1"/>
  <c r="X25" i="1"/>
  <c r="Y25" i="1"/>
  <c r="Z25" i="1"/>
  <c r="AA25" i="1"/>
  <c r="AB25" i="1"/>
  <c r="AC25" i="1"/>
  <c r="V26" i="1"/>
  <c r="W26" i="1"/>
  <c r="X26" i="1"/>
  <c r="Y26" i="1"/>
  <c r="Z26" i="1"/>
  <c r="AA26" i="1"/>
  <c r="AB26" i="1"/>
  <c r="AC26" i="1"/>
  <c r="V27" i="1"/>
  <c r="W27" i="1"/>
  <c r="X27" i="1"/>
  <c r="Y27" i="1"/>
  <c r="Z27" i="1"/>
  <c r="AA27" i="1"/>
  <c r="AB27" i="1"/>
  <c r="AC27" i="1"/>
  <c r="V28" i="1"/>
  <c r="W28" i="1"/>
  <c r="X28" i="1"/>
  <c r="Y28" i="1"/>
  <c r="Z28" i="1"/>
  <c r="AA28" i="1"/>
  <c r="AB28" i="1"/>
  <c r="AC28" i="1"/>
  <c r="V29" i="1"/>
  <c r="W29" i="1"/>
  <c r="X29" i="1"/>
  <c r="Y29" i="1"/>
  <c r="Z29" i="1"/>
  <c r="AA29" i="1"/>
  <c r="AB29" i="1"/>
  <c r="AC29" i="1"/>
  <c r="V30" i="1"/>
  <c r="W30" i="1"/>
  <c r="X30" i="1"/>
  <c r="Y30" i="1"/>
  <c r="Z30" i="1"/>
  <c r="AA30" i="1"/>
  <c r="AB30" i="1"/>
  <c r="AC30" i="1"/>
  <c r="V31" i="1"/>
  <c r="W31" i="1"/>
  <c r="X31" i="1"/>
  <c r="AF31" i="1" s="1"/>
  <c r="Y31" i="1"/>
  <c r="Z31" i="1"/>
  <c r="AA31" i="1"/>
  <c r="AB31" i="1"/>
  <c r="U32" i="1"/>
  <c r="V32" i="1"/>
  <c r="W32" i="1"/>
  <c r="X32" i="1"/>
  <c r="Y32" i="1"/>
  <c r="Z32" i="1"/>
  <c r="AA32" i="1"/>
  <c r="AB32" i="1"/>
  <c r="V33" i="1"/>
  <c r="AF33" i="1" s="1"/>
  <c r="W33" i="1"/>
  <c r="X33" i="1"/>
  <c r="Y33" i="1"/>
  <c r="Z33" i="1"/>
  <c r="AA33" i="1"/>
  <c r="AB33" i="1"/>
  <c r="V34" i="1"/>
  <c r="W34" i="1"/>
  <c r="X34" i="1"/>
  <c r="AE34" i="1" s="1"/>
  <c r="Y34" i="1"/>
  <c r="Z34" i="1"/>
  <c r="AA34" i="1"/>
  <c r="AB34" i="1"/>
  <c r="V35" i="1"/>
  <c r="AF35" i="1" s="1"/>
  <c r="W35" i="1"/>
  <c r="X35" i="1"/>
  <c r="Y35" i="1"/>
  <c r="Z35" i="1"/>
  <c r="AA35" i="1"/>
  <c r="AB35" i="1"/>
  <c r="V36" i="1"/>
  <c r="W36" i="1"/>
  <c r="X36" i="1"/>
  <c r="Y36" i="1"/>
  <c r="AF36" i="1" s="1"/>
  <c r="Z36" i="1"/>
  <c r="AA36" i="1"/>
  <c r="AB36" i="1"/>
  <c r="V37" i="1"/>
  <c r="W37" i="1"/>
  <c r="X37" i="1"/>
  <c r="Y37" i="1"/>
  <c r="Z37" i="1"/>
  <c r="AA37" i="1"/>
  <c r="AB37" i="1"/>
  <c r="V38" i="1"/>
  <c r="AF38" i="1" s="1"/>
  <c r="W38" i="1"/>
  <c r="X38" i="1"/>
  <c r="Y38" i="1"/>
  <c r="AE38" i="1" s="1"/>
  <c r="U38" i="1" s="1"/>
  <c r="Z38" i="1"/>
  <c r="AA38" i="1"/>
  <c r="AB38" i="1"/>
  <c r="V39" i="1"/>
  <c r="W39" i="1"/>
  <c r="X39" i="1"/>
  <c r="Y39" i="1"/>
  <c r="AF39" i="1" s="1"/>
  <c r="Z39" i="1"/>
  <c r="AA39" i="1"/>
  <c r="AB39" i="1"/>
  <c r="G12" i="2"/>
  <c r="G11" i="2"/>
  <c r="G10" i="2"/>
  <c r="G9" i="2"/>
  <c r="G8" i="2"/>
  <c r="AE37" i="1"/>
  <c r="U37" i="1" s="1"/>
  <c r="AF37" i="1"/>
  <c r="AH37" i="1"/>
  <c r="AK37" i="1"/>
  <c r="AN37" i="1"/>
  <c r="AN38" i="1" s="1"/>
  <c r="AN39" i="1" s="1"/>
  <c r="AH38" i="1"/>
  <c r="AK38" i="1"/>
  <c r="AH39" i="1"/>
  <c r="AK39" i="1" s="1"/>
  <c r="AK35" i="1"/>
  <c r="AN35" i="1" s="1"/>
  <c r="AN36" i="1" s="1"/>
  <c r="AK36" i="1"/>
  <c r="AH35" i="1"/>
  <c r="AH36" i="1"/>
  <c r="AE35" i="1"/>
  <c r="AD35" i="1"/>
  <c r="AD36" i="1"/>
  <c r="G7" i="2"/>
  <c r="G6" i="2"/>
  <c r="AD34" i="1"/>
  <c r="AD32" i="1"/>
  <c r="AD33" i="1"/>
  <c r="AK31" i="1"/>
  <c r="AN31" i="1" s="1"/>
  <c r="AN32" i="1" s="1"/>
  <c r="AN33" i="1" s="1"/>
  <c r="AN34" i="1" s="1"/>
  <c r="AK32" i="1"/>
  <c r="AK33" i="1"/>
  <c r="AK34" i="1"/>
  <c r="AE32" i="1"/>
  <c r="AF32" i="1"/>
  <c r="AH32" i="1"/>
  <c r="AE33" i="1"/>
  <c r="AI33" i="1" s="1"/>
  <c r="AH33" i="1"/>
  <c r="AH34" i="1"/>
  <c r="AH31" i="1"/>
  <c r="AE31" i="1"/>
  <c r="U31" i="1" s="1"/>
  <c r="U13" i="1"/>
  <c r="AH20" i="1"/>
  <c r="AD21" i="1"/>
  <c r="AD22" i="1"/>
  <c r="AD23" i="1"/>
  <c r="AD24" i="1"/>
  <c r="AD25" i="1"/>
  <c r="AD26" i="1"/>
  <c r="AD27" i="1"/>
  <c r="AD28" i="1"/>
  <c r="AD29" i="1"/>
  <c r="AD30" i="1"/>
  <c r="AD31" i="1"/>
  <c r="AD20" i="1"/>
  <c r="AH21" i="1"/>
  <c r="AH22" i="1"/>
  <c r="AK22" i="1" s="1"/>
  <c r="AH23" i="1"/>
  <c r="AH24" i="1"/>
  <c r="AH25" i="1"/>
  <c r="AH26" i="1"/>
  <c r="AH27" i="1"/>
  <c r="AH28" i="1"/>
  <c r="AH29" i="1"/>
  <c r="AH30" i="1"/>
  <c r="AE21" i="1"/>
  <c r="AI21" i="1" s="1"/>
  <c r="AE24" i="1"/>
  <c r="AE25" i="1"/>
  <c r="AE27" i="1"/>
  <c r="AE28" i="1"/>
  <c r="AE20" i="1"/>
  <c r="G3" i="2"/>
  <c r="G4" i="2"/>
  <c r="G5" i="2"/>
  <c r="G2" i="2"/>
  <c r="U4" i="1"/>
  <c r="U5" i="1" s="1"/>
  <c r="M3" i="1"/>
  <c r="M4" i="1"/>
  <c r="M5" i="1"/>
  <c r="M6" i="1"/>
  <c r="M7" i="1"/>
  <c r="M8" i="1"/>
  <c r="M2" i="1"/>
  <c r="F5" i="1"/>
  <c r="I4" i="1"/>
  <c r="I5" i="1"/>
  <c r="I6" i="1"/>
  <c r="I7" i="1"/>
  <c r="I8" i="1"/>
  <c r="I3" i="1"/>
  <c r="F8" i="1"/>
  <c r="F7" i="1"/>
  <c r="F3" i="1"/>
  <c r="F4" i="1"/>
  <c r="F6" i="1"/>
  <c r="F2" i="1"/>
  <c r="AV30" i="1" l="1"/>
  <c r="AV29" i="1"/>
  <c r="AV22" i="1"/>
  <c r="AI34" i="1"/>
  <c r="AJ36" i="1"/>
  <c r="U28" i="1"/>
  <c r="U25" i="1"/>
  <c r="AJ37" i="1"/>
  <c r="U33" i="1"/>
  <c r="AJ32" i="1"/>
  <c r="AE39" i="1"/>
  <c r="U39" i="1" s="1"/>
  <c r="AE36" i="1"/>
  <c r="AI35" i="1"/>
  <c r="AF34" i="1"/>
  <c r="AJ34" i="1" s="1"/>
  <c r="AI37" i="1"/>
  <c r="AJ39" i="1"/>
  <c r="AI39" i="1"/>
  <c r="AJ33" i="1"/>
  <c r="AJ38" i="1"/>
  <c r="AI32" i="1"/>
  <c r="AI22" i="1"/>
  <c r="AI38" i="1"/>
  <c r="AK25" i="1"/>
  <c r="AI25" i="1"/>
  <c r="AI28" i="1"/>
  <c r="AE29" i="1"/>
  <c r="AE26" i="1"/>
  <c r="AE23" i="1"/>
  <c r="AL21" i="1"/>
  <c r="AL22" i="1" s="1"/>
  <c r="AE30" i="1"/>
  <c r="AF30" i="1"/>
  <c r="AJ31" i="1" s="1"/>
  <c r="AF21" i="1"/>
  <c r="U21" i="1" s="1"/>
  <c r="AF29" i="1"/>
  <c r="AF28" i="1"/>
  <c r="AF25" i="1"/>
  <c r="AK29" i="1"/>
  <c r="AF22" i="1"/>
  <c r="AK28" i="1"/>
  <c r="AK26" i="1"/>
  <c r="AF27" i="1"/>
  <c r="U27" i="1" s="1"/>
  <c r="AF24" i="1"/>
  <c r="U24" i="1" s="1"/>
  <c r="AK21" i="1"/>
  <c r="AN21" i="1" s="1"/>
  <c r="AN22" i="1" s="1"/>
  <c r="AF20" i="1"/>
  <c r="U20" i="1" s="1"/>
  <c r="AF26" i="1"/>
  <c r="AF23" i="1"/>
  <c r="AK23" i="1"/>
  <c r="AK27" i="1"/>
  <c r="AK30" i="1"/>
  <c r="AK24" i="1"/>
  <c r="M10" i="1"/>
  <c r="I10" i="1"/>
  <c r="F10" i="1"/>
  <c r="U30" i="1" l="1"/>
  <c r="AJ22" i="1"/>
  <c r="AJ26" i="1"/>
  <c r="AJ35" i="1"/>
  <c r="U22" i="1"/>
  <c r="AI23" i="1"/>
  <c r="AL23" i="1" s="1"/>
  <c r="U23" i="1"/>
  <c r="AI26" i="1"/>
  <c r="U26" i="1"/>
  <c r="AI29" i="1"/>
  <c r="U29" i="1"/>
  <c r="U34" i="1"/>
  <c r="AI36" i="1"/>
  <c r="U36" i="1"/>
  <c r="AI30" i="1"/>
  <c r="AI31" i="1"/>
  <c r="AG20" i="1"/>
  <c r="AG25" i="1" s="1"/>
  <c r="Z16" i="1"/>
  <c r="AF17" i="1"/>
  <c r="AG22" i="1"/>
  <c r="AG23" i="1"/>
  <c r="AG24" i="1"/>
  <c r="AG30" i="1"/>
  <c r="AG21" i="1"/>
  <c r="AI27" i="1"/>
  <c r="AU28" i="1" s="1"/>
  <c r="AI24" i="1"/>
  <c r="AU27" i="1" s="1"/>
  <c r="AJ21" i="1"/>
  <c r="AM21" i="1" s="1"/>
  <c r="AM22" i="1" s="1"/>
  <c r="AM23" i="1" s="1"/>
  <c r="AJ23" i="1"/>
  <c r="AN23" i="1"/>
  <c r="AJ24" i="1"/>
  <c r="AJ27" i="1"/>
  <c r="AU21" i="1"/>
  <c r="AJ28" i="1"/>
  <c r="AJ29" i="1"/>
  <c r="AJ25" i="1"/>
  <c r="AU20" i="1"/>
  <c r="AJ30" i="1"/>
  <c r="AN24" i="1"/>
  <c r="AN25" i="1" s="1"/>
  <c r="J10" i="1"/>
  <c r="N10" i="1"/>
  <c r="G9" i="1"/>
  <c r="J8" i="1"/>
  <c r="J9" i="1"/>
  <c r="N9" i="1"/>
  <c r="J2" i="1"/>
  <c r="J5" i="1"/>
  <c r="N3" i="1"/>
  <c r="F16" i="1"/>
  <c r="F17" i="1" s="1"/>
  <c r="J4" i="1"/>
  <c r="F14" i="1"/>
  <c r="F15" i="1" s="1"/>
  <c r="J6" i="1"/>
  <c r="J7" i="1"/>
  <c r="N4" i="1"/>
  <c r="J3" i="1"/>
  <c r="N8" i="1"/>
  <c r="N2" i="1"/>
  <c r="N5" i="1"/>
  <c r="N7" i="1"/>
  <c r="N6" i="1"/>
  <c r="G6" i="1"/>
  <c r="G7" i="1"/>
  <c r="G5" i="1"/>
  <c r="G2" i="1"/>
  <c r="G8" i="1"/>
  <c r="G3" i="1"/>
  <c r="G4" i="1"/>
  <c r="AG29" i="1" l="1"/>
  <c r="AG28" i="1"/>
  <c r="AG27" i="1"/>
  <c r="AG26" i="1"/>
  <c r="AG17" i="1" s="1"/>
  <c r="AG36" i="1"/>
  <c r="AG35" i="1"/>
  <c r="AG39" i="1"/>
  <c r="AG32" i="1"/>
  <c r="AG31" i="1"/>
  <c r="AG34" i="1"/>
  <c r="AG33" i="1"/>
  <c r="AG37" i="1"/>
  <c r="AG38" i="1"/>
  <c r="AR21" i="1"/>
  <c r="AR20" i="1"/>
  <c r="AM24" i="1"/>
  <c r="AM25" i="1" s="1"/>
  <c r="AM26" i="1" s="1"/>
  <c r="AM27" i="1" s="1"/>
  <c r="AM28" i="1" s="1"/>
  <c r="AM29" i="1" s="1"/>
  <c r="AM30" i="1" s="1"/>
  <c r="AL24" i="1"/>
  <c r="AL25" i="1" s="1"/>
  <c r="I12" i="1"/>
  <c r="AN26" i="1"/>
  <c r="AN27" i="1" s="1"/>
  <c r="AN28" i="1" s="1"/>
  <c r="AN29" i="1" s="1"/>
  <c r="AN30" i="1" s="1"/>
  <c r="AT21" i="1" s="1"/>
  <c r="AV21" i="1" s="1"/>
  <c r="AT20" i="1"/>
  <c r="AV20" i="1" s="1"/>
  <c r="F12" i="1"/>
  <c r="M12" i="1"/>
  <c r="AQ21" i="1" l="1"/>
  <c r="AM31" i="1"/>
  <c r="AM32" i="1" s="1"/>
  <c r="AM33" i="1" s="1"/>
  <c r="AM34" i="1" s="1"/>
  <c r="AM35" i="1" s="1"/>
  <c r="AM36" i="1" s="1"/>
  <c r="AM37" i="1" s="1"/>
  <c r="AM38" i="1" s="1"/>
  <c r="AM39" i="1" s="1"/>
  <c r="AQ20" i="1"/>
  <c r="AT27" i="1"/>
  <c r="AV27" i="1" s="1"/>
  <c r="AL26" i="1"/>
  <c r="AL27" i="1" s="1"/>
  <c r="AL28" i="1" s="1"/>
  <c r="AL29" i="1" s="1"/>
  <c r="AL30" i="1" s="1"/>
  <c r="AS20" i="1"/>
  <c r="AS21" i="1"/>
  <c r="AT28" i="1" l="1"/>
  <c r="AV28" i="1" s="1"/>
  <c r="AL31" i="1"/>
  <c r="AL32" i="1" s="1"/>
  <c r="AL33" i="1" s="1"/>
  <c r="AL34" i="1" s="1"/>
  <c r="AL35" i="1" s="1"/>
  <c r="AL36" i="1" s="1"/>
  <c r="AL37" i="1" s="1"/>
  <c r="AL38" i="1" s="1"/>
  <c r="AL3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<sst xmlns="http://schemas.openxmlformats.org/spreadsheetml/2006/main" count="160" uniqueCount="49">
  <si>
    <t>NVDA</t>
  </si>
  <si>
    <t>META</t>
  </si>
  <si>
    <t>BLDP</t>
  </si>
  <si>
    <t>TSLA</t>
  </si>
  <si>
    <t>MSFT</t>
  </si>
  <si>
    <t>JPM</t>
  </si>
  <si>
    <t>LMT</t>
  </si>
  <si>
    <t>Cash</t>
  </si>
  <si>
    <t>ESG Score</t>
  </si>
  <si>
    <t>Environmental risk score</t>
  </si>
  <si>
    <t>16/05/2024</t>
  </si>
  <si>
    <t>Trade No.</t>
  </si>
  <si>
    <t>Stock Ticker</t>
  </si>
  <si>
    <t>Trade Date</t>
  </si>
  <si>
    <t>Trade Type</t>
  </si>
  <si>
    <t>Quantity</t>
  </si>
  <si>
    <t>Price (USD)</t>
  </si>
  <si>
    <t>Total Amount (USD)</t>
  </si>
  <si>
    <t>Trade Justification</t>
  </si>
  <si>
    <t>14/05/2024</t>
  </si>
  <si>
    <t>Buy</t>
  </si>
  <si>
    <t>The tsunami impact on 02/04/2024 seems to have expired on 19/04/2024. There was a correction between 6th and 9th of May. From 14/05/2024 until election, Biden will most likely buyback more bonds and show other actions to encourage the market. It seems to be a good time to buy the position and capture the CPI impact. If CPI shows bad numbers and correction kicks in, I will dilute the position after the correction by buying more NVDA stocks.</t>
  </si>
  <si>
    <t>17/05/2024</t>
  </si>
  <si>
    <t>Sell</t>
  </si>
  <si>
    <t>Inflation seems to stabilise at least in the short-term, and Iran is showing a withdrawal stance. The rest of the two weeks of holding period will bet on the bull market. Biden buying back bonds for election, inflation stabilising, and no further aggresions in Israel and Ukraine in the short-term.</t>
  </si>
  <si>
    <t>CPI index looks good, the war situations are not escalating, and Biden bought back U.S. bonds. These are good signs for the short-term position for NVDA.</t>
  </si>
  <si>
    <t>CASH</t>
  </si>
  <si>
    <t>Portfolio</t>
  </si>
  <si>
    <t>S%P 500</t>
  </si>
  <si>
    <t>S&amp;P 500</t>
  </si>
  <si>
    <t>Total Return</t>
  </si>
  <si>
    <t>Sharpe Ratio</t>
  </si>
  <si>
    <t>Week 1</t>
  </si>
  <si>
    <t>Week 2</t>
  </si>
  <si>
    <t>Week 3</t>
  </si>
  <si>
    <t>Week 4</t>
  </si>
  <si>
    <t>Std. D</t>
  </si>
  <si>
    <t>Green Stocks</t>
  </si>
  <si>
    <t>Green</t>
  </si>
  <si>
    <t>Green*</t>
  </si>
  <si>
    <t>24/05/2024</t>
  </si>
  <si>
    <t>Green ratio</t>
  </si>
  <si>
    <t>Three recent news about Biden's stimulus stance, very strong short-term bull market signal. Seeking riskier position than the current portfolio, which is done by reducing green stock exposure from 30% to 27%.</t>
  </si>
  <si>
    <t>Following the positioning assuming a short-term bull market, increased the NVDA position.</t>
  </si>
  <si>
    <t>31/05/2024</t>
  </si>
  <si>
    <t>All stocks resulted in positive returns (except a very small loss in TSLA), realise gains at the end of the holding period.</t>
  </si>
  <si>
    <t>S&amp;P500</t>
  </si>
  <si>
    <t>Total</t>
  </si>
  <si>
    <t>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</si>
</sst>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1">
    <xf numFmtId="0" fontId="0" fillId="0" borderId="0" xfId="0"/>
    <xf numFmtId="14" fontId="0" fillId="0" borderId="0" xfId="0" applyNumberFormat="1"/>
    <xf numFmtId="0" fontId="0" fillId="2" borderId="0" xfId="0" applyFill="1"/>
    <xf numFmtId="164" fontId="0" fillId="0" borderId="0" xfId="0" applyNumberFormat="1"/>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3" xfId="0" applyBorder="1" applyAlignment="1">
      <alignment horizontal="center"/>
    </xf>
    <xf numFmtId="0" fontId="0" fillId="0" borderId="4" xfId="0" applyBorder="1" applyAlignment="1">
      <alignment horizontal="center"/>
    </xf>
    <xf numFmtId="164" fontId="0" fillId="0" borderId="1" xfId="0" applyNumberFormat="1" applyBorder="1"/>
    <xf numFmtId="0" fontId="0" fillId="0" borderId="3" xfId="0" applyBorder="1"/>
    <xf numFmtId="164" fontId="0" fillId="0" borderId="3" xfId="0" applyNumberFormat="1" applyBorder="1"/>
    <xf numFmtId="0" fontId="0" fillId="0" borderId="4" xfId="0" applyBorder="1"/>
    <xf numFmtId="0" fontId="0" fillId="0" borderId="6" xfId="0" applyBorder="1" applyAlignment="1">
      <alignment wrapText="1"/>
    </xf>
    <xf numFmtId="0" fontId="0" fillId="0" borderId="6" xfId="0" applyBorder="1" applyAlignment="1">
      <alignment horizontal="center" wrapText="1"/>
    </xf>
    <xf numFmtId="164" fontId="0" fillId="0" borderId="8" xfId="0" applyNumberFormat="1" applyBorder="1"/>
    <xf numFmtId="0" fontId="0" fillId="0" borderId="9" xfId="0" applyBorder="1" applyAlignment="1">
      <alignment horizont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Cumulative Returns</a:t>
            </a:r>
            <a:endParaRPr lang="ko-KR"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Data!$B$63</c:f>
              <c:strCache>
                <c:ptCount val="1"/>
                <c:pt idx="0">
                  <c:v>Portfolio</c:v>
                </c:pt>
              </c:strCache>
            </c:strRef>
          </c:tx>
          <c:spPr>
            <a:ln w="28575" cap="rnd">
              <a:solidFill>
                <a:schemeClr val="accent1"/>
              </a:solidFill>
              <a:round/>
            </a:ln>
            <a:effectLst/>
          </c:spPr>
          <c:marker>
            <c:symbol val="none"/>
          </c:marker>
          <c:cat>
            <c:numRef>
              <c:f>Data!$A$64:$A$83</c:f>
              <c:numCache>
                <c:formatCode>m/d/yyyy</c:formatCode>
                <c:ptCount val="20"/>
                <c:pt idx="0">
                  <c:v>45414</c:v>
                </c:pt>
                <c:pt idx="1">
                  <c:v>45415</c:v>
                </c:pt>
                <c:pt idx="2">
                  <c:v>45418</c:v>
                </c:pt>
                <c:pt idx="3">
                  <c:v>45419</c:v>
                </c:pt>
                <c:pt idx="4">
                  <c:v>45420</c:v>
                </c:pt>
                <c:pt idx="5">
                  <c:v>45421</c:v>
                </c:pt>
                <c:pt idx="6">
                  <c:v>45422</c:v>
                </c:pt>
                <c:pt idx="7">
                  <c:v>45425</c:v>
                </c:pt>
                <c:pt idx="8">
                  <c:v>45426</c:v>
                </c:pt>
                <c:pt idx="9">
                  <c:v>45427</c:v>
                </c:pt>
                <c:pt idx="10">
                  <c:v>45428</c:v>
                </c:pt>
                <c:pt idx="11">
                  <c:v>45429</c:v>
                </c:pt>
                <c:pt idx="12">
                  <c:v>45432</c:v>
                </c:pt>
                <c:pt idx="13">
                  <c:v>45433</c:v>
                </c:pt>
                <c:pt idx="14">
                  <c:v>45434</c:v>
                </c:pt>
                <c:pt idx="15">
                  <c:v>45435</c:v>
                </c:pt>
                <c:pt idx="16">
                  <c:v>45436</c:v>
                </c:pt>
                <c:pt idx="17">
                  <c:v>45440</c:v>
                </c:pt>
                <c:pt idx="18">
                  <c:v>45441</c:v>
                </c:pt>
                <c:pt idx="19">
                  <c:v>45442</c:v>
                </c:pt>
              </c:numCache>
            </c:numRef>
          </c:cat>
          <c:val>
            <c:numRef>
              <c:f>Data!$B$64:$B$83</c:f>
              <c:numCache>
                <c:formatCode>General</c:formatCode>
                <c:ptCount val="20"/>
                <c:pt idx="0">
                  <c:v>1</c:v>
                </c:pt>
                <c:pt idx="1">
                  <c:v>1.0060131848767355</c:v>
                </c:pt>
                <c:pt idx="2">
                  <c:v>1.0156675624979625</c:v>
                </c:pt>
                <c:pt idx="3">
                  <c:v>1.0088230893801151</c:v>
                </c:pt>
                <c:pt idx="4">
                  <c:v>1.0118275396825209</c:v>
                </c:pt>
                <c:pt idx="5">
                  <c:v>1.01923054237129</c:v>
                </c:pt>
                <c:pt idx="6">
                  <c:v>1.0075290399907095</c:v>
                </c:pt>
                <c:pt idx="7">
                  <c:v>1.0168985234924368</c:v>
                </c:pt>
                <c:pt idx="8">
                  <c:v>1.0401543087141933</c:v>
                </c:pt>
                <c:pt idx="9">
                  <c:v>1.0477998809012259</c:v>
                </c:pt>
                <c:pt idx="10">
                  <c:v>1.0464591429112757</c:v>
                </c:pt>
                <c:pt idx="11">
                  <c:v>1.034471441202772</c:v>
                </c:pt>
                <c:pt idx="12">
                  <c:v>1.0465252402599772</c:v>
                </c:pt>
                <c:pt idx="13">
                  <c:v>1.0590334212266665</c:v>
                </c:pt>
                <c:pt idx="14">
                  <c:v>1.0547049117045435</c:v>
                </c:pt>
                <c:pt idx="15">
                  <c:v>1.0639967901039138</c:v>
                </c:pt>
                <c:pt idx="16">
                  <c:v>1.1292981111183114</c:v>
                </c:pt>
                <c:pt idx="17">
                  <c:v>1.1786248268257435</c:v>
                </c:pt>
                <c:pt idx="18">
                  <c:v>1.1790944029554224</c:v>
                </c:pt>
                <c:pt idx="19">
                  <c:v>1.1545798986424958</c:v>
                </c:pt>
              </c:numCache>
            </c:numRef>
          </c:val>
          <c:smooth val="0"/>
          <c:extLst>
            <c:ext xmlns:c16="http://schemas.microsoft.com/office/drawing/2014/chart" uri="{C3380CC4-5D6E-409C-BE32-E72D297353CC}">
              <c16:uniqueId val="{00000000-9117-43FE-9186-7611EA43FD8C}"/>
            </c:ext>
          </c:extLst>
        </c:ser>
        <c:ser>
          <c:idx val="1"/>
          <c:order val="1"/>
          <c:tx>
            <c:strRef>
              <c:f>Data!$C$63</c:f>
              <c:strCache>
                <c:ptCount val="1"/>
                <c:pt idx="0">
                  <c:v>Green</c:v>
                </c:pt>
              </c:strCache>
            </c:strRef>
          </c:tx>
          <c:spPr>
            <a:ln w="28575" cap="rnd">
              <a:solidFill>
                <a:schemeClr val="accent2"/>
              </a:solidFill>
              <a:round/>
            </a:ln>
            <a:effectLst/>
          </c:spPr>
          <c:marker>
            <c:symbol val="none"/>
          </c:marker>
          <c:cat>
            <c:numRef>
              <c:f>Data!$A$64:$A$83</c:f>
              <c:numCache>
                <c:formatCode>m/d/yyyy</c:formatCode>
                <c:ptCount val="20"/>
                <c:pt idx="0">
                  <c:v>45414</c:v>
                </c:pt>
                <c:pt idx="1">
                  <c:v>45415</c:v>
                </c:pt>
                <c:pt idx="2">
                  <c:v>45418</c:v>
                </c:pt>
                <c:pt idx="3">
                  <c:v>45419</c:v>
                </c:pt>
                <c:pt idx="4">
                  <c:v>45420</c:v>
                </c:pt>
                <c:pt idx="5">
                  <c:v>45421</c:v>
                </c:pt>
                <c:pt idx="6">
                  <c:v>45422</c:v>
                </c:pt>
                <c:pt idx="7">
                  <c:v>45425</c:v>
                </c:pt>
                <c:pt idx="8">
                  <c:v>45426</c:v>
                </c:pt>
                <c:pt idx="9">
                  <c:v>45427</c:v>
                </c:pt>
                <c:pt idx="10">
                  <c:v>45428</c:v>
                </c:pt>
                <c:pt idx="11">
                  <c:v>45429</c:v>
                </c:pt>
                <c:pt idx="12">
                  <c:v>45432</c:v>
                </c:pt>
                <c:pt idx="13">
                  <c:v>45433</c:v>
                </c:pt>
                <c:pt idx="14">
                  <c:v>45434</c:v>
                </c:pt>
                <c:pt idx="15">
                  <c:v>45435</c:v>
                </c:pt>
                <c:pt idx="16">
                  <c:v>45436</c:v>
                </c:pt>
                <c:pt idx="17">
                  <c:v>45440</c:v>
                </c:pt>
                <c:pt idx="18">
                  <c:v>45441</c:v>
                </c:pt>
                <c:pt idx="19">
                  <c:v>45442</c:v>
                </c:pt>
              </c:numCache>
            </c:numRef>
          </c:cat>
          <c:val>
            <c:numRef>
              <c:f>Data!$C$64:$C$83</c:f>
              <c:numCache>
                <c:formatCode>General</c:formatCode>
                <c:ptCount val="20"/>
                <c:pt idx="0">
                  <c:v>1</c:v>
                </c:pt>
                <c:pt idx="1">
                  <c:v>1.0146414028143524</c:v>
                </c:pt>
                <c:pt idx="2">
                  <c:v>1.0300282216457093</c:v>
                </c:pt>
                <c:pt idx="3">
                  <c:v>1.0064450817190791</c:v>
                </c:pt>
                <c:pt idx="4">
                  <c:v>1.0005891716116937</c:v>
                </c:pt>
                <c:pt idx="5">
                  <c:v>1.015481216492899</c:v>
                </c:pt>
                <c:pt idx="6">
                  <c:v>0.97170023208804368</c:v>
                </c:pt>
                <c:pt idx="7">
                  <c:v>1.0073825481509449</c:v>
                </c:pt>
                <c:pt idx="8">
                  <c:v>1.0523874470640699</c:v>
                </c:pt>
                <c:pt idx="9">
                  <c:v>1.030526250687638</c:v>
                </c:pt>
                <c:pt idx="10">
                  <c:v>1.0348717982103506</c:v>
                </c:pt>
                <c:pt idx="11">
                  <c:v>1.0351387157360903</c:v>
                </c:pt>
                <c:pt idx="12">
                  <c:v>1.0274534440498551</c:v>
                </c:pt>
                <c:pt idx="13">
                  <c:v>1.0574491147777911</c:v>
                </c:pt>
                <c:pt idx="14">
                  <c:v>1.0498354551106568</c:v>
                </c:pt>
                <c:pt idx="15">
                  <c:v>0.89959669412879095</c:v>
                </c:pt>
                <c:pt idx="16">
                  <c:v>0.92742772882481417</c:v>
                </c:pt>
                <c:pt idx="17">
                  <c:v>0.92534121499555677</c:v>
                </c:pt>
                <c:pt idx="18">
                  <c:v>0.9106802816305406</c:v>
                </c:pt>
                <c:pt idx="19">
                  <c:v>0.93392163692055297</c:v>
                </c:pt>
              </c:numCache>
            </c:numRef>
          </c:val>
          <c:smooth val="0"/>
          <c:extLst>
            <c:ext xmlns:c16="http://schemas.microsoft.com/office/drawing/2014/chart" uri="{C3380CC4-5D6E-409C-BE32-E72D297353CC}">
              <c16:uniqueId val="{00000001-9117-43FE-9186-7611EA43FD8C}"/>
            </c:ext>
          </c:extLst>
        </c:ser>
        <c:ser>
          <c:idx val="2"/>
          <c:order val="2"/>
          <c:tx>
            <c:strRef>
              <c:f>Data!$D$63</c:f>
              <c:strCache>
                <c:ptCount val="1"/>
                <c:pt idx="0">
                  <c:v>S&amp;P500</c:v>
                </c:pt>
              </c:strCache>
            </c:strRef>
          </c:tx>
          <c:spPr>
            <a:ln w="28575" cap="rnd">
              <a:solidFill>
                <a:schemeClr val="accent3"/>
              </a:solidFill>
              <a:round/>
            </a:ln>
            <a:effectLst/>
          </c:spPr>
          <c:marker>
            <c:symbol val="none"/>
          </c:marker>
          <c:cat>
            <c:numRef>
              <c:f>Data!$A$64:$A$83</c:f>
              <c:numCache>
                <c:formatCode>m/d/yyyy</c:formatCode>
                <c:ptCount val="20"/>
                <c:pt idx="0">
                  <c:v>45414</c:v>
                </c:pt>
                <c:pt idx="1">
                  <c:v>45415</c:v>
                </c:pt>
                <c:pt idx="2">
                  <c:v>45418</c:v>
                </c:pt>
                <c:pt idx="3">
                  <c:v>45419</c:v>
                </c:pt>
                <c:pt idx="4">
                  <c:v>45420</c:v>
                </c:pt>
                <c:pt idx="5">
                  <c:v>45421</c:v>
                </c:pt>
                <c:pt idx="6">
                  <c:v>45422</c:v>
                </c:pt>
                <c:pt idx="7">
                  <c:v>45425</c:v>
                </c:pt>
                <c:pt idx="8">
                  <c:v>45426</c:v>
                </c:pt>
                <c:pt idx="9">
                  <c:v>45427</c:v>
                </c:pt>
                <c:pt idx="10">
                  <c:v>45428</c:v>
                </c:pt>
                <c:pt idx="11">
                  <c:v>45429</c:v>
                </c:pt>
                <c:pt idx="12">
                  <c:v>45432</c:v>
                </c:pt>
                <c:pt idx="13">
                  <c:v>45433</c:v>
                </c:pt>
                <c:pt idx="14">
                  <c:v>45434</c:v>
                </c:pt>
                <c:pt idx="15">
                  <c:v>45435</c:v>
                </c:pt>
                <c:pt idx="16">
                  <c:v>45436</c:v>
                </c:pt>
                <c:pt idx="17">
                  <c:v>45440</c:v>
                </c:pt>
                <c:pt idx="18">
                  <c:v>45441</c:v>
                </c:pt>
                <c:pt idx="19">
                  <c:v>45442</c:v>
                </c:pt>
              </c:numCache>
            </c:numRef>
          </c:cat>
          <c:val>
            <c:numRef>
              <c:f>Data!$D$64:$D$83</c:f>
              <c:numCache>
                <c:formatCode>General</c:formatCode>
                <c:ptCount val="20"/>
                <c:pt idx="0">
                  <c:v>1</c:v>
                </c:pt>
                <c:pt idx="1">
                  <c:v>1.0125567710595949</c:v>
                </c:pt>
                <c:pt idx="2">
                  <c:v>1.0230125192527941</c:v>
                </c:pt>
                <c:pt idx="3">
                  <c:v>1.0243868725563761</c:v>
                </c:pt>
                <c:pt idx="4">
                  <c:v>1.0243809486197228</c:v>
                </c:pt>
                <c:pt idx="5">
                  <c:v>1.0295959875202401</c:v>
                </c:pt>
                <c:pt idx="6">
                  <c:v>1.0312941826942066</c:v>
                </c:pt>
                <c:pt idx="7">
                  <c:v>1.031045377354765</c:v>
                </c:pt>
                <c:pt idx="8">
                  <c:v>1.0360333320169031</c:v>
                </c:pt>
                <c:pt idx="9">
                  <c:v>1.0481714782196596</c:v>
                </c:pt>
                <c:pt idx="10">
                  <c:v>1.0459894948856681</c:v>
                </c:pt>
                <c:pt idx="11">
                  <c:v>1.0472078511907115</c:v>
                </c:pt>
                <c:pt idx="12">
                  <c:v>1.0481675289285575</c:v>
                </c:pt>
                <c:pt idx="13">
                  <c:v>1.0507898582204493</c:v>
                </c:pt>
                <c:pt idx="14">
                  <c:v>1.0479463686268315</c:v>
                </c:pt>
                <c:pt idx="15">
                  <c:v>1.0402116820030805</c:v>
                </c:pt>
                <c:pt idx="16">
                  <c:v>1.0474941747956243</c:v>
                </c:pt>
                <c:pt idx="17">
                  <c:v>1.0477548280083726</c:v>
                </c:pt>
                <c:pt idx="18">
                  <c:v>1.0400359385490305</c:v>
                </c:pt>
                <c:pt idx="19">
                  <c:v>1.0338217289996445</c:v>
                </c:pt>
              </c:numCache>
            </c:numRef>
          </c:val>
          <c:smooth val="0"/>
          <c:extLst>
            <c:ext xmlns:c16="http://schemas.microsoft.com/office/drawing/2014/chart" uri="{C3380CC4-5D6E-409C-BE32-E72D297353CC}">
              <c16:uniqueId val="{00000002-9117-43FE-9186-7611EA43FD8C}"/>
            </c:ext>
          </c:extLst>
        </c:ser>
        <c:dLbls>
          <c:showLegendKey val="0"/>
          <c:showVal val="0"/>
          <c:showCatName val="0"/>
          <c:showSerName val="0"/>
          <c:showPercent val="0"/>
          <c:showBubbleSize val="0"/>
        </c:dLbls>
        <c:smooth val="0"/>
        <c:axId val="841169567"/>
        <c:axId val="841176767"/>
      </c:lineChart>
      <c:dateAx>
        <c:axId val="841169567"/>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176767"/>
        <c:crosses val="autoZero"/>
        <c:auto val="1"/>
        <c:lblOffset val="100"/>
        <c:baseTimeUnit val="days"/>
      </c:dateAx>
      <c:valAx>
        <c:axId val="841176767"/>
        <c:scaling>
          <c:orientation val="minMax"/>
          <c:max val="1.2"/>
          <c:min val="0.8500000000000000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169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Cumulative Returns</a:t>
            </a:r>
            <a:endParaRPr lang="ko-KR"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Data!$B$63</c:f>
              <c:strCache>
                <c:ptCount val="1"/>
                <c:pt idx="0">
                  <c:v>Portfolio</c:v>
                </c:pt>
              </c:strCache>
            </c:strRef>
          </c:tx>
          <c:spPr>
            <a:ln w="28575" cap="rnd">
              <a:solidFill>
                <a:schemeClr val="accent1"/>
              </a:solidFill>
              <a:round/>
            </a:ln>
            <a:effectLst/>
          </c:spPr>
          <c:marker>
            <c:symbol val="none"/>
          </c:marker>
          <c:cat>
            <c:numRef>
              <c:f>Data!$A$64:$A$83</c:f>
              <c:numCache>
                <c:formatCode>m/d/yyyy</c:formatCode>
                <c:ptCount val="20"/>
                <c:pt idx="0">
                  <c:v>45414</c:v>
                </c:pt>
                <c:pt idx="1">
                  <c:v>45415</c:v>
                </c:pt>
                <c:pt idx="2">
                  <c:v>45418</c:v>
                </c:pt>
                <c:pt idx="3">
                  <c:v>45419</c:v>
                </c:pt>
                <c:pt idx="4">
                  <c:v>45420</c:v>
                </c:pt>
                <c:pt idx="5">
                  <c:v>45421</c:v>
                </c:pt>
                <c:pt idx="6">
                  <c:v>45422</c:v>
                </c:pt>
                <c:pt idx="7">
                  <c:v>45425</c:v>
                </c:pt>
                <c:pt idx="8">
                  <c:v>45426</c:v>
                </c:pt>
                <c:pt idx="9">
                  <c:v>45427</c:v>
                </c:pt>
                <c:pt idx="10">
                  <c:v>45428</c:v>
                </c:pt>
                <c:pt idx="11">
                  <c:v>45429</c:v>
                </c:pt>
                <c:pt idx="12">
                  <c:v>45432</c:v>
                </c:pt>
                <c:pt idx="13">
                  <c:v>45433</c:v>
                </c:pt>
                <c:pt idx="14">
                  <c:v>45434</c:v>
                </c:pt>
                <c:pt idx="15">
                  <c:v>45435</c:v>
                </c:pt>
                <c:pt idx="16">
                  <c:v>45436</c:v>
                </c:pt>
                <c:pt idx="17">
                  <c:v>45440</c:v>
                </c:pt>
                <c:pt idx="18">
                  <c:v>45441</c:v>
                </c:pt>
                <c:pt idx="19">
                  <c:v>45442</c:v>
                </c:pt>
              </c:numCache>
            </c:numRef>
          </c:cat>
          <c:val>
            <c:numRef>
              <c:f>Data!$B$64:$B$83</c:f>
              <c:numCache>
                <c:formatCode>General</c:formatCode>
                <c:ptCount val="20"/>
                <c:pt idx="0">
                  <c:v>1</c:v>
                </c:pt>
                <c:pt idx="1">
                  <c:v>1.0060131848767355</c:v>
                </c:pt>
                <c:pt idx="2">
                  <c:v>1.0156675624979625</c:v>
                </c:pt>
                <c:pt idx="3">
                  <c:v>1.0088230893801151</c:v>
                </c:pt>
                <c:pt idx="4">
                  <c:v>1.0118275396825209</c:v>
                </c:pt>
                <c:pt idx="5">
                  <c:v>1.01923054237129</c:v>
                </c:pt>
                <c:pt idx="6">
                  <c:v>1.0075290399907095</c:v>
                </c:pt>
                <c:pt idx="7">
                  <c:v>1.0168985234924368</c:v>
                </c:pt>
                <c:pt idx="8">
                  <c:v>1.0401543087141933</c:v>
                </c:pt>
                <c:pt idx="9">
                  <c:v>1.0477998809012259</c:v>
                </c:pt>
                <c:pt idx="10">
                  <c:v>1.0464591429112757</c:v>
                </c:pt>
                <c:pt idx="11">
                  <c:v>1.034471441202772</c:v>
                </c:pt>
                <c:pt idx="12">
                  <c:v>1.0465252402599772</c:v>
                </c:pt>
                <c:pt idx="13">
                  <c:v>1.0590334212266665</c:v>
                </c:pt>
                <c:pt idx="14">
                  <c:v>1.0547049117045435</c:v>
                </c:pt>
                <c:pt idx="15">
                  <c:v>1.0639967901039138</c:v>
                </c:pt>
                <c:pt idx="16">
                  <c:v>1.1292981111183114</c:v>
                </c:pt>
                <c:pt idx="17">
                  <c:v>1.1786248268257435</c:v>
                </c:pt>
                <c:pt idx="18">
                  <c:v>1.1790944029554224</c:v>
                </c:pt>
                <c:pt idx="19">
                  <c:v>1.1545798986424958</c:v>
                </c:pt>
              </c:numCache>
            </c:numRef>
          </c:val>
          <c:smooth val="0"/>
          <c:extLst>
            <c:ext xmlns:c16="http://schemas.microsoft.com/office/drawing/2014/chart" uri="{C3380CC4-5D6E-409C-BE32-E72D297353CC}">
              <c16:uniqueId val="{00000000-FF6B-44E2-858D-B4041AD59217}"/>
            </c:ext>
          </c:extLst>
        </c:ser>
        <c:ser>
          <c:idx val="1"/>
          <c:order val="1"/>
          <c:tx>
            <c:strRef>
              <c:f>Data!$D$63</c:f>
              <c:strCache>
                <c:ptCount val="1"/>
                <c:pt idx="0">
                  <c:v>S&amp;P500</c:v>
                </c:pt>
              </c:strCache>
            </c:strRef>
          </c:tx>
          <c:spPr>
            <a:ln w="28575" cap="rnd">
              <a:solidFill>
                <a:schemeClr val="accent2"/>
              </a:solidFill>
              <a:round/>
            </a:ln>
            <a:effectLst/>
          </c:spPr>
          <c:marker>
            <c:symbol val="none"/>
          </c:marker>
          <c:cat>
            <c:numRef>
              <c:f>Data!$A$64:$A$83</c:f>
              <c:numCache>
                <c:formatCode>m/d/yyyy</c:formatCode>
                <c:ptCount val="20"/>
                <c:pt idx="0">
                  <c:v>45414</c:v>
                </c:pt>
                <c:pt idx="1">
                  <c:v>45415</c:v>
                </c:pt>
                <c:pt idx="2">
                  <c:v>45418</c:v>
                </c:pt>
                <c:pt idx="3">
                  <c:v>45419</c:v>
                </c:pt>
                <c:pt idx="4">
                  <c:v>45420</c:v>
                </c:pt>
                <c:pt idx="5">
                  <c:v>45421</c:v>
                </c:pt>
                <c:pt idx="6">
                  <c:v>45422</c:v>
                </c:pt>
                <c:pt idx="7">
                  <c:v>45425</c:v>
                </c:pt>
                <c:pt idx="8">
                  <c:v>45426</c:v>
                </c:pt>
                <c:pt idx="9">
                  <c:v>45427</c:v>
                </c:pt>
                <c:pt idx="10">
                  <c:v>45428</c:v>
                </c:pt>
                <c:pt idx="11">
                  <c:v>45429</c:v>
                </c:pt>
                <c:pt idx="12">
                  <c:v>45432</c:v>
                </c:pt>
                <c:pt idx="13">
                  <c:v>45433</c:v>
                </c:pt>
                <c:pt idx="14">
                  <c:v>45434</c:v>
                </c:pt>
                <c:pt idx="15">
                  <c:v>45435</c:v>
                </c:pt>
                <c:pt idx="16">
                  <c:v>45436</c:v>
                </c:pt>
                <c:pt idx="17">
                  <c:v>45440</c:v>
                </c:pt>
                <c:pt idx="18">
                  <c:v>45441</c:v>
                </c:pt>
                <c:pt idx="19">
                  <c:v>45442</c:v>
                </c:pt>
              </c:numCache>
            </c:numRef>
          </c:cat>
          <c:val>
            <c:numRef>
              <c:f>Data!$D$64:$D$83</c:f>
              <c:numCache>
                <c:formatCode>General</c:formatCode>
                <c:ptCount val="20"/>
                <c:pt idx="0">
                  <c:v>1</c:v>
                </c:pt>
                <c:pt idx="1">
                  <c:v>1.0125567710595949</c:v>
                </c:pt>
                <c:pt idx="2">
                  <c:v>1.0230125192527941</c:v>
                </c:pt>
                <c:pt idx="3">
                  <c:v>1.0243868725563761</c:v>
                </c:pt>
                <c:pt idx="4">
                  <c:v>1.0243809486197228</c:v>
                </c:pt>
                <c:pt idx="5">
                  <c:v>1.0295959875202401</c:v>
                </c:pt>
                <c:pt idx="6">
                  <c:v>1.0312941826942066</c:v>
                </c:pt>
                <c:pt idx="7">
                  <c:v>1.031045377354765</c:v>
                </c:pt>
                <c:pt idx="8">
                  <c:v>1.0360333320169031</c:v>
                </c:pt>
                <c:pt idx="9">
                  <c:v>1.0481714782196596</c:v>
                </c:pt>
                <c:pt idx="10">
                  <c:v>1.0459894948856681</c:v>
                </c:pt>
                <c:pt idx="11">
                  <c:v>1.0472078511907115</c:v>
                </c:pt>
                <c:pt idx="12">
                  <c:v>1.0481675289285575</c:v>
                </c:pt>
                <c:pt idx="13">
                  <c:v>1.0507898582204493</c:v>
                </c:pt>
                <c:pt idx="14">
                  <c:v>1.0479463686268315</c:v>
                </c:pt>
                <c:pt idx="15">
                  <c:v>1.0402116820030805</c:v>
                </c:pt>
                <c:pt idx="16">
                  <c:v>1.0474941747956243</c:v>
                </c:pt>
                <c:pt idx="17">
                  <c:v>1.0477548280083726</c:v>
                </c:pt>
                <c:pt idx="18">
                  <c:v>1.0400359385490305</c:v>
                </c:pt>
                <c:pt idx="19">
                  <c:v>1.0338217289996445</c:v>
                </c:pt>
              </c:numCache>
            </c:numRef>
          </c:val>
          <c:smooth val="0"/>
          <c:extLst>
            <c:ext xmlns:c16="http://schemas.microsoft.com/office/drawing/2014/chart" uri="{C3380CC4-5D6E-409C-BE32-E72D297353CC}">
              <c16:uniqueId val="{00000001-FF6B-44E2-858D-B4041AD59217}"/>
            </c:ext>
          </c:extLst>
        </c:ser>
        <c:dLbls>
          <c:showLegendKey val="0"/>
          <c:showVal val="0"/>
          <c:showCatName val="0"/>
          <c:showSerName val="0"/>
          <c:showPercent val="0"/>
          <c:showBubbleSize val="0"/>
        </c:dLbls>
        <c:smooth val="0"/>
        <c:axId val="928873343"/>
        <c:axId val="928863743"/>
      </c:lineChart>
      <c:dateAx>
        <c:axId val="928873343"/>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863743"/>
        <c:crosses val="autoZero"/>
        <c:auto val="1"/>
        <c:lblOffset val="100"/>
        <c:baseTimeUnit val="days"/>
      </c:dateAx>
      <c:valAx>
        <c:axId val="92886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873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Cumulative Returns</a:t>
            </a:r>
            <a:endParaRPr lang="ko-KR"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Data!$B$63</c:f>
              <c:strCache>
                <c:ptCount val="1"/>
                <c:pt idx="0">
                  <c:v>Portfolio</c:v>
                </c:pt>
              </c:strCache>
            </c:strRef>
          </c:tx>
          <c:spPr>
            <a:ln w="28575" cap="rnd">
              <a:solidFill>
                <a:schemeClr val="accent1"/>
              </a:solidFill>
              <a:round/>
            </a:ln>
            <a:effectLst/>
          </c:spPr>
          <c:marker>
            <c:symbol val="none"/>
          </c:marker>
          <c:cat>
            <c:numRef>
              <c:f>Data!$A$64:$A$83</c:f>
              <c:numCache>
                <c:formatCode>m/d/yyyy</c:formatCode>
                <c:ptCount val="20"/>
                <c:pt idx="0">
                  <c:v>45414</c:v>
                </c:pt>
                <c:pt idx="1">
                  <c:v>45415</c:v>
                </c:pt>
                <c:pt idx="2">
                  <c:v>45418</c:v>
                </c:pt>
                <c:pt idx="3">
                  <c:v>45419</c:v>
                </c:pt>
                <c:pt idx="4">
                  <c:v>45420</c:v>
                </c:pt>
                <c:pt idx="5">
                  <c:v>45421</c:v>
                </c:pt>
                <c:pt idx="6">
                  <c:v>45422</c:v>
                </c:pt>
                <c:pt idx="7">
                  <c:v>45425</c:v>
                </c:pt>
                <c:pt idx="8">
                  <c:v>45426</c:v>
                </c:pt>
                <c:pt idx="9">
                  <c:v>45427</c:v>
                </c:pt>
                <c:pt idx="10">
                  <c:v>45428</c:v>
                </c:pt>
                <c:pt idx="11">
                  <c:v>45429</c:v>
                </c:pt>
                <c:pt idx="12">
                  <c:v>45432</c:v>
                </c:pt>
                <c:pt idx="13">
                  <c:v>45433</c:v>
                </c:pt>
                <c:pt idx="14">
                  <c:v>45434</c:v>
                </c:pt>
                <c:pt idx="15">
                  <c:v>45435</c:v>
                </c:pt>
                <c:pt idx="16">
                  <c:v>45436</c:v>
                </c:pt>
                <c:pt idx="17">
                  <c:v>45440</c:v>
                </c:pt>
                <c:pt idx="18">
                  <c:v>45441</c:v>
                </c:pt>
                <c:pt idx="19">
                  <c:v>45442</c:v>
                </c:pt>
              </c:numCache>
            </c:numRef>
          </c:cat>
          <c:val>
            <c:numRef>
              <c:f>Data!$B$64:$B$83</c:f>
              <c:numCache>
                <c:formatCode>General</c:formatCode>
                <c:ptCount val="20"/>
                <c:pt idx="0">
                  <c:v>1</c:v>
                </c:pt>
                <c:pt idx="1">
                  <c:v>1.0060131848767355</c:v>
                </c:pt>
                <c:pt idx="2">
                  <c:v>1.0156675624979625</c:v>
                </c:pt>
                <c:pt idx="3">
                  <c:v>1.0088230893801151</c:v>
                </c:pt>
                <c:pt idx="4">
                  <c:v>1.0118275396825209</c:v>
                </c:pt>
                <c:pt idx="5">
                  <c:v>1.01923054237129</c:v>
                </c:pt>
                <c:pt idx="6">
                  <c:v>1.0075290399907095</c:v>
                </c:pt>
                <c:pt idx="7">
                  <c:v>1.0168985234924368</c:v>
                </c:pt>
                <c:pt idx="8">
                  <c:v>1.0401543087141933</c:v>
                </c:pt>
                <c:pt idx="9">
                  <c:v>1.0477998809012259</c:v>
                </c:pt>
                <c:pt idx="10">
                  <c:v>1.0464591429112757</c:v>
                </c:pt>
                <c:pt idx="11">
                  <c:v>1.034471441202772</c:v>
                </c:pt>
                <c:pt idx="12">
                  <c:v>1.0465252402599772</c:v>
                </c:pt>
                <c:pt idx="13">
                  <c:v>1.0590334212266665</c:v>
                </c:pt>
                <c:pt idx="14">
                  <c:v>1.0547049117045435</c:v>
                </c:pt>
                <c:pt idx="15">
                  <c:v>1.0639967901039138</c:v>
                </c:pt>
                <c:pt idx="16">
                  <c:v>1.1292981111183114</c:v>
                </c:pt>
                <c:pt idx="17">
                  <c:v>1.1786248268257435</c:v>
                </c:pt>
                <c:pt idx="18">
                  <c:v>1.1790944029554224</c:v>
                </c:pt>
                <c:pt idx="19">
                  <c:v>1.1545798986424958</c:v>
                </c:pt>
              </c:numCache>
            </c:numRef>
          </c:val>
          <c:smooth val="0"/>
          <c:extLst>
            <c:ext xmlns:c16="http://schemas.microsoft.com/office/drawing/2014/chart" uri="{C3380CC4-5D6E-409C-BE32-E72D297353CC}">
              <c16:uniqueId val="{00000000-8CDF-44F0-A19E-528E2FA6E333}"/>
            </c:ext>
          </c:extLst>
        </c:ser>
        <c:ser>
          <c:idx val="1"/>
          <c:order val="1"/>
          <c:tx>
            <c:strRef>
              <c:f>Data!$C$63</c:f>
              <c:strCache>
                <c:ptCount val="1"/>
                <c:pt idx="0">
                  <c:v>Green</c:v>
                </c:pt>
              </c:strCache>
            </c:strRef>
          </c:tx>
          <c:spPr>
            <a:ln w="28575" cap="rnd">
              <a:solidFill>
                <a:schemeClr val="accent2"/>
              </a:solidFill>
              <a:round/>
            </a:ln>
            <a:effectLst/>
          </c:spPr>
          <c:marker>
            <c:symbol val="none"/>
          </c:marker>
          <c:cat>
            <c:numRef>
              <c:f>Data!$A$64:$A$83</c:f>
              <c:numCache>
                <c:formatCode>m/d/yyyy</c:formatCode>
                <c:ptCount val="20"/>
                <c:pt idx="0">
                  <c:v>45414</c:v>
                </c:pt>
                <c:pt idx="1">
                  <c:v>45415</c:v>
                </c:pt>
                <c:pt idx="2">
                  <c:v>45418</c:v>
                </c:pt>
                <c:pt idx="3">
                  <c:v>45419</c:v>
                </c:pt>
                <c:pt idx="4">
                  <c:v>45420</c:v>
                </c:pt>
                <c:pt idx="5">
                  <c:v>45421</c:v>
                </c:pt>
                <c:pt idx="6">
                  <c:v>45422</c:v>
                </c:pt>
                <c:pt idx="7">
                  <c:v>45425</c:v>
                </c:pt>
                <c:pt idx="8">
                  <c:v>45426</c:v>
                </c:pt>
                <c:pt idx="9">
                  <c:v>45427</c:v>
                </c:pt>
                <c:pt idx="10">
                  <c:v>45428</c:v>
                </c:pt>
                <c:pt idx="11">
                  <c:v>45429</c:v>
                </c:pt>
                <c:pt idx="12">
                  <c:v>45432</c:v>
                </c:pt>
                <c:pt idx="13">
                  <c:v>45433</c:v>
                </c:pt>
                <c:pt idx="14">
                  <c:v>45434</c:v>
                </c:pt>
                <c:pt idx="15">
                  <c:v>45435</c:v>
                </c:pt>
                <c:pt idx="16">
                  <c:v>45436</c:v>
                </c:pt>
                <c:pt idx="17">
                  <c:v>45440</c:v>
                </c:pt>
                <c:pt idx="18">
                  <c:v>45441</c:v>
                </c:pt>
                <c:pt idx="19">
                  <c:v>45442</c:v>
                </c:pt>
              </c:numCache>
            </c:numRef>
          </c:cat>
          <c:val>
            <c:numRef>
              <c:f>Data!$C$64:$C$83</c:f>
              <c:numCache>
                <c:formatCode>General</c:formatCode>
                <c:ptCount val="20"/>
                <c:pt idx="0">
                  <c:v>1</c:v>
                </c:pt>
                <c:pt idx="1">
                  <c:v>1.0146414028143524</c:v>
                </c:pt>
                <c:pt idx="2">
                  <c:v>1.0300282216457093</c:v>
                </c:pt>
                <c:pt idx="3">
                  <c:v>1.0064450817190791</c:v>
                </c:pt>
                <c:pt idx="4">
                  <c:v>1.0005891716116937</c:v>
                </c:pt>
                <c:pt idx="5">
                  <c:v>1.015481216492899</c:v>
                </c:pt>
                <c:pt idx="6">
                  <c:v>0.97170023208804368</c:v>
                </c:pt>
                <c:pt idx="7">
                  <c:v>1.0073825481509449</c:v>
                </c:pt>
                <c:pt idx="8">
                  <c:v>1.0523874470640699</c:v>
                </c:pt>
                <c:pt idx="9">
                  <c:v>1.030526250687638</c:v>
                </c:pt>
                <c:pt idx="10">
                  <c:v>1.0348717982103506</c:v>
                </c:pt>
                <c:pt idx="11">
                  <c:v>1.0351387157360903</c:v>
                </c:pt>
                <c:pt idx="12">
                  <c:v>1.0274534440498551</c:v>
                </c:pt>
                <c:pt idx="13">
                  <c:v>1.0574491147777911</c:v>
                </c:pt>
                <c:pt idx="14">
                  <c:v>1.0498354551106568</c:v>
                </c:pt>
                <c:pt idx="15">
                  <c:v>0.89959669412879095</c:v>
                </c:pt>
                <c:pt idx="16">
                  <c:v>0.92742772882481417</c:v>
                </c:pt>
                <c:pt idx="17">
                  <c:v>0.92534121499555677</c:v>
                </c:pt>
                <c:pt idx="18">
                  <c:v>0.9106802816305406</c:v>
                </c:pt>
                <c:pt idx="19">
                  <c:v>0.93392163692055297</c:v>
                </c:pt>
              </c:numCache>
            </c:numRef>
          </c:val>
          <c:smooth val="0"/>
          <c:extLst>
            <c:ext xmlns:c16="http://schemas.microsoft.com/office/drawing/2014/chart" uri="{C3380CC4-5D6E-409C-BE32-E72D297353CC}">
              <c16:uniqueId val="{00000001-8CDF-44F0-A19E-528E2FA6E333}"/>
            </c:ext>
          </c:extLst>
        </c:ser>
        <c:dLbls>
          <c:showLegendKey val="0"/>
          <c:showVal val="0"/>
          <c:showCatName val="0"/>
          <c:showSerName val="0"/>
          <c:showPercent val="0"/>
          <c:showBubbleSize val="0"/>
        </c:dLbls>
        <c:smooth val="0"/>
        <c:axId val="928865183"/>
        <c:axId val="928866623"/>
      </c:lineChart>
      <c:dateAx>
        <c:axId val="928865183"/>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866623"/>
        <c:crosses val="autoZero"/>
        <c:auto val="1"/>
        <c:lblOffset val="100"/>
        <c:baseTimeUnit val="days"/>
      </c:dateAx>
      <c:valAx>
        <c:axId val="928866623"/>
        <c:scaling>
          <c:orientation val="minMax"/>
          <c:min val="0.60000000000000009"/>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8865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133350</xdr:colOff>
      <xdr:row>44</xdr:row>
      <xdr:rowOff>142874</xdr:rowOff>
    </xdr:from>
    <xdr:to>
      <xdr:col>19</xdr:col>
      <xdr:colOff>514350</xdr:colOff>
      <xdr:row>72</xdr:row>
      <xdr:rowOff>190499</xdr:rowOff>
    </xdr:to>
    <xdr:graphicFrame macro="">
      <xdr:nvGraphicFramePr>
        <xdr:cNvPr id="2" name="차트 1">
          <a:extLst>
            <a:ext uri="{FF2B5EF4-FFF2-40B4-BE49-F238E27FC236}">
              <a16:creationId xmlns:a16="http://schemas.microsoft.com/office/drawing/2014/main" id="{54CE463F-163E-8E5B-5C11-608426CF5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74</xdr:row>
      <xdr:rowOff>0</xdr:rowOff>
    </xdr:from>
    <xdr:to>
      <xdr:col>20</xdr:col>
      <xdr:colOff>0</xdr:colOff>
      <xdr:row>107</xdr:row>
      <xdr:rowOff>0</xdr:rowOff>
    </xdr:to>
    <xdr:graphicFrame macro="">
      <xdr:nvGraphicFramePr>
        <xdr:cNvPr id="5" name="차트 4">
          <a:extLst>
            <a:ext uri="{FF2B5EF4-FFF2-40B4-BE49-F238E27FC236}">
              <a16:creationId xmlns:a16="http://schemas.microsoft.com/office/drawing/2014/main" id="{B2472A9C-A255-65D1-9DE1-8A6682569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609599</xdr:colOff>
      <xdr:row>74</xdr:row>
      <xdr:rowOff>0</xdr:rowOff>
    </xdr:from>
    <xdr:to>
      <xdr:col>33</xdr:col>
      <xdr:colOff>1209674</xdr:colOff>
      <xdr:row>107</xdr:row>
      <xdr:rowOff>0</xdr:rowOff>
    </xdr:to>
    <xdr:graphicFrame macro="">
      <xdr:nvGraphicFramePr>
        <xdr:cNvPr id="6" name="차트 5">
          <a:extLst>
            <a:ext uri="{FF2B5EF4-FFF2-40B4-BE49-F238E27FC236}">
              <a16:creationId xmlns:a16="http://schemas.microsoft.com/office/drawing/2014/main" id="{759863EC-5533-94B2-BE5B-98D7E9D24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8A783-93ED-4CDE-9C3D-9D142609F37A}">
  <dimension ref="A1:AV83"/>
  <sheetViews>
    <sheetView topLeftCell="AF13" workbookViewId="0">
      <selection activeCell="AP25" sqref="AP25:AV30"/>
    </sheetView>
  </sheetViews>
  <sheetFormatPr defaultRowHeight="15" x14ac:dyDescent="0.25"/>
  <cols>
    <col min="1" max="1" width="9.42578125" bestFit="1" customWidth="1"/>
    <col min="6" max="6" width="11.7109375" bestFit="1" customWidth="1"/>
    <col min="8" max="8" width="9.42578125" bestFit="1" customWidth="1"/>
    <col min="31" max="31" width="9.42578125" bestFit="1" customWidth="1"/>
    <col min="32" max="33" width="9.42578125" customWidth="1"/>
    <col min="34" max="35" width="18.140625" customWidth="1"/>
    <col min="43" max="44" width="12" bestFit="1" customWidth="1"/>
    <col min="45" max="45" width="12.140625" bestFit="1" customWidth="1"/>
    <col min="46" max="47" width="12" bestFit="1" customWidth="1"/>
    <col min="48" max="48" width="12.140625" bestFit="1" customWidth="1"/>
  </cols>
  <sheetData>
    <row r="1" spans="1:26" x14ac:dyDescent="0.25">
      <c r="B1" t="s">
        <v>8</v>
      </c>
      <c r="C1" t="s">
        <v>9</v>
      </c>
      <c r="F1" s="1">
        <v>45327</v>
      </c>
      <c r="G1" s="1"/>
      <c r="I1" s="1">
        <v>45570</v>
      </c>
      <c r="J1" s="1"/>
      <c r="M1" t="s">
        <v>10</v>
      </c>
    </row>
    <row r="2" spans="1:26" x14ac:dyDescent="0.25">
      <c r="A2" t="s">
        <v>0</v>
      </c>
      <c r="B2">
        <v>14</v>
      </c>
      <c r="C2">
        <v>2.2999999999999998</v>
      </c>
      <c r="D2">
        <v>830.41</v>
      </c>
      <c r="F2">
        <f>D2*E2</f>
        <v>0</v>
      </c>
      <c r="G2">
        <f t="shared" ref="G2:G9" si="0">F2/$F$10</f>
        <v>0</v>
      </c>
      <c r="J2">
        <f t="shared" ref="J2:J10" si="1">I2/$F$10</f>
        <v>0</v>
      </c>
      <c r="K2">
        <v>356</v>
      </c>
      <c r="L2">
        <v>946.3</v>
      </c>
      <c r="M2">
        <f>L2*K2</f>
        <v>336882.8</v>
      </c>
      <c r="N2">
        <f t="shared" ref="N2:N10" si="2">M2/$F$10</f>
        <v>0.33684746470095289</v>
      </c>
      <c r="O2" s="2"/>
    </row>
    <row r="3" spans="1:26" x14ac:dyDescent="0.25">
      <c r="A3" t="s">
        <v>1</v>
      </c>
      <c r="B3">
        <v>34</v>
      </c>
      <c r="C3">
        <v>2.7</v>
      </c>
      <c r="D3">
        <v>439.19</v>
      </c>
      <c r="E3">
        <v>200</v>
      </c>
      <c r="F3">
        <f t="shared" ref="F3:F8" si="3">D3*E3</f>
        <v>87838</v>
      </c>
      <c r="G3">
        <f t="shared" si="0"/>
        <v>8.7828786760268854E-2</v>
      </c>
      <c r="H3">
        <v>476.2</v>
      </c>
      <c r="I3">
        <f>E3*H3</f>
        <v>95240</v>
      </c>
      <c r="J3">
        <f t="shared" si="1"/>
        <v>9.5230010371911991E-2</v>
      </c>
      <c r="K3">
        <v>200</v>
      </c>
      <c r="L3">
        <v>481.54</v>
      </c>
      <c r="M3">
        <f t="shared" ref="M3:M8" si="4">L3*K3</f>
        <v>96308</v>
      </c>
      <c r="N3">
        <f t="shared" si="2"/>
        <v>9.629789835046304E-2</v>
      </c>
      <c r="O3" s="2"/>
    </row>
    <row r="4" spans="1:26" x14ac:dyDescent="0.25">
      <c r="A4" t="s">
        <v>2</v>
      </c>
      <c r="D4">
        <v>2.66</v>
      </c>
      <c r="E4">
        <v>40000</v>
      </c>
      <c r="F4">
        <f t="shared" si="3"/>
        <v>106400</v>
      </c>
      <c r="G4">
        <f t="shared" si="0"/>
        <v>0.10638883981070386</v>
      </c>
      <c r="H4">
        <v>2.83</v>
      </c>
      <c r="I4">
        <f t="shared" ref="I4:I8" si="5">E4*H4</f>
        <v>113200</v>
      </c>
      <c r="J4">
        <f t="shared" si="1"/>
        <v>0.11318812656552328</v>
      </c>
      <c r="K4">
        <v>40000</v>
      </c>
      <c r="L4">
        <v>3.13</v>
      </c>
      <c r="M4">
        <f t="shared" si="4"/>
        <v>125200</v>
      </c>
      <c r="N4">
        <f t="shared" si="2"/>
        <v>0.12518686789755756</v>
      </c>
      <c r="O4" s="2"/>
      <c r="U4">
        <f>1.12</f>
        <v>1.1200000000000001</v>
      </c>
    </row>
    <row r="5" spans="1:26" x14ac:dyDescent="0.25">
      <c r="A5" t="s">
        <v>3</v>
      </c>
      <c r="B5">
        <v>25</v>
      </c>
      <c r="C5">
        <v>3.3</v>
      </c>
      <c r="D5">
        <v>179.99</v>
      </c>
      <c r="E5">
        <v>1100</v>
      </c>
      <c r="F5">
        <f>D5*E5</f>
        <v>197989</v>
      </c>
      <c r="G5">
        <f t="shared" si="0"/>
        <v>0.19796823313234443</v>
      </c>
      <c r="H5">
        <v>168.47</v>
      </c>
      <c r="I5">
        <f t="shared" si="5"/>
        <v>185317</v>
      </c>
      <c r="J5">
        <f t="shared" si="1"/>
        <v>0.18529756228571626</v>
      </c>
      <c r="K5">
        <v>1100</v>
      </c>
      <c r="L5">
        <v>173.99</v>
      </c>
      <c r="M5">
        <f t="shared" si="4"/>
        <v>191389</v>
      </c>
      <c r="N5">
        <f t="shared" si="2"/>
        <v>0.19136892539972558</v>
      </c>
      <c r="O5" s="2"/>
      <c r="U5">
        <f>U4^(1/12)</f>
        <v>1.009488792934583</v>
      </c>
    </row>
    <row r="6" spans="1:26" x14ac:dyDescent="0.25">
      <c r="A6" t="s">
        <v>4</v>
      </c>
      <c r="B6">
        <v>15</v>
      </c>
      <c r="C6">
        <v>1.5</v>
      </c>
      <c r="D6">
        <v>394.94</v>
      </c>
      <c r="E6">
        <v>90</v>
      </c>
      <c r="F6">
        <f t="shared" si="3"/>
        <v>35544.6</v>
      </c>
      <c r="G6">
        <f t="shared" si="0"/>
        <v>3.5540871762552113E-2</v>
      </c>
      <c r="H6">
        <v>414.74</v>
      </c>
      <c r="I6">
        <f t="shared" si="5"/>
        <v>37326.6</v>
      </c>
      <c r="J6">
        <f t="shared" si="1"/>
        <v>3.7322684850359202E-2</v>
      </c>
      <c r="K6">
        <v>90</v>
      </c>
      <c r="L6">
        <v>423.08</v>
      </c>
      <c r="M6">
        <f t="shared" si="4"/>
        <v>38077.199999999997</v>
      </c>
      <c r="N6">
        <f t="shared" si="2"/>
        <v>3.8073206120677938E-2</v>
      </c>
      <c r="O6" s="2"/>
    </row>
    <row r="7" spans="1:26" x14ac:dyDescent="0.25">
      <c r="A7" t="s">
        <v>5</v>
      </c>
      <c r="B7">
        <v>29</v>
      </c>
      <c r="C7">
        <v>1.1000000000000001</v>
      </c>
      <c r="D7">
        <v>191.86</v>
      </c>
      <c r="E7">
        <v>1000</v>
      </c>
      <c r="F7">
        <f t="shared" si="3"/>
        <v>191860</v>
      </c>
      <c r="G7">
        <f t="shared" si="0"/>
        <v>0.19183987599700794</v>
      </c>
      <c r="H7">
        <v>198.77</v>
      </c>
      <c r="I7">
        <f t="shared" si="5"/>
        <v>198770</v>
      </c>
      <c r="J7">
        <f t="shared" si="1"/>
        <v>0.19874915121403766</v>
      </c>
      <c r="K7">
        <v>1000</v>
      </c>
      <c r="L7">
        <v>202.11</v>
      </c>
      <c r="M7">
        <f t="shared" si="4"/>
        <v>202110</v>
      </c>
      <c r="N7">
        <f t="shared" si="2"/>
        <v>0.2020888008847872</v>
      </c>
      <c r="O7" s="2"/>
    </row>
    <row r="8" spans="1:26" x14ac:dyDescent="0.25">
      <c r="A8" t="s">
        <v>6</v>
      </c>
      <c r="B8">
        <v>30</v>
      </c>
      <c r="C8">
        <v>8</v>
      </c>
      <c r="D8">
        <v>461.73</v>
      </c>
      <c r="E8">
        <v>126</v>
      </c>
      <c r="F8">
        <f t="shared" si="3"/>
        <v>58177.98</v>
      </c>
      <c r="G8">
        <f t="shared" si="0"/>
        <v>5.8171877770021932E-2</v>
      </c>
      <c r="H8">
        <v>468.88</v>
      </c>
      <c r="I8">
        <f t="shared" si="5"/>
        <v>59078.879999999997</v>
      </c>
      <c r="J8">
        <f t="shared" si="1"/>
        <v>5.9072683275524403E-2</v>
      </c>
      <c r="K8">
        <v>126</v>
      </c>
      <c r="L8">
        <v>464.08</v>
      </c>
      <c r="M8">
        <f t="shared" si="4"/>
        <v>58474.079999999994</v>
      </c>
      <c r="N8">
        <f t="shared" si="2"/>
        <v>5.8467946712389869E-2</v>
      </c>
      <c r="O8" s="2"/>
    </row>
    <row r="9" spans="1:26" x14ac:dyDescent="0.25">
      <c r="A9" t="s">
        <v>7</v>
      </c>
      <c r="F9">
        <v>322295.32</v>
      </c>
      <c r="G9">
        <f t="shared" si="0"/>
        <v>0.32226151476710096</v>
      </c>
      <c r="I9">
        <v>322295.32</v>
      </c>
      <c r="J9">
        <f t="shared" si="1"/>
        <v>0.32226151476710096</v>
      </c>
      <c r="L9">
        <v>3270.84</v>
      </c>
      <c r="M9">
        <v>3203.34</v>
      </c>
      <c r="N9">
        <f t="shared" si="2"/>
        <v>3.2030040048798883E-3</v>
      </c>
    </row>
    <row r="10" spans="1:26" x14ac:dyDescent="0.25">
      <c r="F10">
        <f>SUM(F2:F9)</f>
        <v>1000104.8999999999</v>
      </c>
      <c r="I10">
        <f>SUM(I2:I9)</f>
        <v>1011227.8</v>
      </c>
      <c r="J10">
        <f t="shared" si="1"/>
        <v>1.0111217333301739</v>
      </c>
      <c r="M10">
        <f>SUM(M2:M9)</f>
        <v>1051644.42</v>
      </c>
      <c r="N10">
        <f t="shared" si="2"/>
        <v>1.0515341140714338</v>
      </c>
    </row>
    <row r="12" spans="1:26" x14ac:dyDescent="0.25">
      <c r="F12">
        <f>G4+G5</f>
        <v>0.30435707294304831</v>
      </c>
      <c r="I12">
        <f>J4+J5</f>
        <v>0.29848568885123955</v>
      </c>
      <c r="M12">
        <f>N4+N5</f>
        <v>0.31655579329728312</v>
      </c>
    </row>
    <row r="13" spans="1:26" x14ac:dyDescent="0.25">
      <c r="U13">
        <f>SUM(W20:Z20)/SUM(W20:AC20)</f>
        <v>0.42977484497112961</v>
      </c>
    </row>
    <row r="14" spans="1:26" x14ac:dyDescent="0.25">
      <c r="F14">
        <f>F10*0.2-E4*D4</f>
        <v>93620.979999999981</v>
      </c>
      <c r="X14">
        <f>V31/AF31</f>
        <v>0.5655967651777678</v>
      </c>
    </row>
    <row r="15" spans="1:26" x14ac:dyDescent="0.25">
      <c r="F15">
        <f>F14/E5</f>
        <v>85.109981818181808</v>
      </c>
    </row>
    <row r="16" spans="1:26" x14ac:dyDescent="0.25">
      <c r="F16">
        <f>F10*0.2-F5</f>
        <v>2031.9799999999814</v>
      </c>
      <c r="Z16">
        <f>SUM(V28:Z28)/AF20</f>
        <v>0.77753832350979679</v>
      </c>
    </row>
    <row r="17" spans="1:48" ht="15.75" thickBot="1" x14ac:dyDescent="0.3">
      <c r="F17">
        <f>F16/E4</f>
        <v>5.0799499999999533E-2</v>
      </c>
      <c r="AF17">
        <f>CORREL(AF20:AF30,AH20:AH30)</f>
        <v>0.86762082262657614</v>
      </c>
      <c r="AG17">
        <f>CORREL(AF20:AF30,AG20:AG30)</f>
        <v>0.74522113898029319</v>
      </c>
    </row>
    <row r="18" spans="1:48" x14ac:dyDescent="0.25">
      <c r="AP18" s="5"/>
      <c r="AQ18" s="11" t="s">
        <v>27</v>
      </c>
      <c r="AR18" s="11"/>
      <c r="AS18" s="11"/>
      <c r="AT18" s="11" t="s">
        <v>28</v>
      </c>
      <c r="AU18" s="11"/>
      <c r="AV18" s="12"/>
    </row>
    <row r="19" spans="1:48" x14ac:dyDescent="0.25">
      <c r="B19" t="s">
        <v>0</v>
      </c>
      <c r="C19" t="s">
        <v>1</v>
      </c>
      <c r="D19" t="s">
        <v>2</v>
      </c>
      <c r="E19" t="s">
        <v>3</v>
      </c>
      <c r="F19" t="s">
        <v>4</v>
      </c>
      <c r="G19" t="s">
        <v>5</v>
      </c>
      <c r="H19" t="s">
        <v>6</v>
      </c>
      <c r="I19" t="s">
        <v>26</v>
      </c>
      <c r="J19" t="s">
        <v>29</v>
      </c>
      <c r="L19" t="s">
        <v>0</v>
      </c>
      <c r="M19" t="s">
        <v>1</v>
      </c>
      <c r="N19" t="s">
        <v>2</v>
      </c>
      <c r="O19" t="s">
        <v>3</v>
      </c>
      <c r="P19" t="s">
        <v>4</v>
      </c>
      <c r="Q19" t="s">
        <v>5</v>
      </c>
      <c r="R19" t="s">
        <v>6</v>
      </c>
      <c r="S19" t="s">
        <v>26</v>
      </c>
      <c r="T19" t="s">
        <v>29</v>
      </c>
      <c r="U19" t="s">
        <v>41</v>
      </c>
      <c r="V19" t="s">
        <v>0</v>
      </c>
      <c r="W19" t="s">
        <v>1</v>
      </c>
      <c r="X19" t="s">
        <v>2</v>
      </c>
      <c r="Y19" t="s">
        <v>3</v>
      </c>
      <c r="Z19" t="s">
        <v>4</v>
      </c>
      <c r="AA19" t="s">
        <v>5</v>
      </c>
      <c r="AB19" t="s">
        <v>6</v>
      </c>
      <c r="AC19" t="s">
        <v>26</v>
      </c>
      <c r="AE19" t="s">
        <v>38</v>
      </c>
      <c r="AF19" t="s">
        <v>27</v>
      </c>
      <c r="AG19" t="s">
        <v>39</v>
      </c>
      <c r="AH19" t="s">
        <v>28</v>
      </c>
      <c r="AI19" t="s">
        <v>38</v>
      </c>
      <c r="AJ19" t="s">
        <v>27</v>
      </c>
      <c r="AK19" t="s">
        <v>28</v>
      </c>
      <c r="AL19" t="s">
        <v>38</v>
      </c>
      <c r="AM19" t="s">
        <v>27</v>
      </c>
      <c r="AN19" t="s">
        <v>28</v>
      </c>
      <c r="AP19" s="6"/>
      <c r="AQ19" s="4" t="s">
        <v>30</v>
      </c>
      <c r="AR19" s="4" t="s">
        <v>36</v>
      </c>
      <c r="AS19" s="4" t="s">
        <v>31</v>
      </c>
      <c r="AT19" s="4" t="s">
        <v>30</v>
      </c>
      <c r="AU19" s="4" t="s">
        <v>36</v>
      </c>
      <c r="AV19" s="7" t="s">
        <v>31</v>
      </c>
    </row>
    <row r="20" spans="1:48" x14ac:dyDescent="0.25">
      <c r="A20" s="1">
        <v>45414</v>
      </c>
      <c r="B20">
        <v>858.17</v>
      </c>
      <c r="C20">
        <v>441.68</v>
      </c>
      <c r="D20">
        <v>2.73</v>
      </c>
      <c r="E20">
        <v>180.01</v>
      </c>
      <c r="F20">
        <v>397.84</v>
      </c>
      <c r="G20">
        <v>191.66</v>
      </c>
      <c r="H20">
        <v>463.2</v>
      </c>
      <c r="I20">
        <v>322295.32</v>
      </c>
      <c r="J20">
        <v>5064.2</v>
      </c>
      <c r="M20">
        <v>200</v>
      </c>
      <c r="N20">
        <v>40000</v>
      </c>
      <c r="O20">
        <v>1100</v>
      </c>
      <c r="P20">
        <v>90</v>
      </c>
      <c r="Q20">
        <v>1000</v>
      </c>
      <c r="R20">
        <v>126</v>
      </c>
      <c r="S20">
        <v>322295.32</v>
      </c>
      <c r="T20">
        <v>198.18947118992139</v>
      </c>
      <c r="U20">
        <f>AE20/AF20</f>
        <v>0.30608731672980694</v>
      </c>
      <c r="V20">
        <f>B20*L20</f>
        <v>0</v>
      </c>
      <c r="W20">
        <f t="shared" ref="W20:AB20" si="6">C20*M20</f>
        <v>88336</v>
      </c>
      <c r="X20">
        <f t="shared" si="6"/>
        <v>109200</v>
      </c>
      <c r="Y20">
        <f t="shared" si="6"/>
        <v>198011</v>
      </c>
      <c r="Z20">
        <f t="shared" si="6"/>
        <v>35805.599999999999</v>
      </c>
      <c r="AA20">
        <f t="shared" si="6"/>
        <v>191660</v>
      </c>
      <c r="AB20">
        <f t="shared" si="6"/>
        <v>58363.199999999997</v>
      </c>
      <c r="AC20">
        <f>S20</f>
        <v>322295.32</v>
      </c>
      <c r="AD20" s="1">
        <f>A20</f>
        <v>45414</v>
      </c>
      <c r="AE20">
        <f>Y20+X20</f>
        <v>307211</v>
      </c>
      <c r="AF20">
        <f t="shared" ref="AF20:AF31" si="7">SUM(V20:AC20)</f>
        <v>1003671.1199999999</v>
      </c>
      <c r="AG20">
        <f>AF20</f>
        <v>1003671.1199999999</v>
      </c>
      <c r="AH20">
        <f t="shared" ref="AH20:AH31" si="8">T20*J20</f>
        <v>1003671.1199999999</v>
      </c>
      <c r="AP20" s="6" t="s">
        <v>32</v>
      </c>
      <c r="AQ20" s="4">
        <f>AM25-1</f>
        <v>1.9230542371290182E-2</v>
      </c>
      <c r="AR20" s="4">
        <f>_xlfn.VAR.P(AJ21:AJ25)^0.5</f>
        <v>5.7026881681417237E-3</v>
      </c>
      <c r="AS20" s="4">
        <f>AQ20/AR20</f>
        <v>3.3721890105656334</v>
      </c>
      <c r="AT20" s="4">
        <f>AN25-1</f>
        <v>2.9595987520239841E-2</v>
      </c>
      <c r="AU20" s="4">
        <f>_xlfn.VAR.P(AK21:AK25)^0.5</f>
        <v>4.9028741421710924E-3</v>
      </c>
      <c r="AV20" s="7">
        <f>AT20/AU20</f>
        <v>6.0364567113146688</v>
      </c>
    </row>
    <row r="21" spans="1:48" x14ac:dyDescent="0.25">
      <c r="A21" s="1">
        <v>45415</v>
      </c>
      <c r="B21">
        <v>887.89</v>
      </c>
      <c r="C21">
        <v>451.96</v>
      </c>
      <c r="D21">
        <v>2.81</v>
      </c>
      <c r="E21">
        <v>181.19</v>
      </c>
      <c r="F21">
        <v>406.66</v>
      </c>
      <c r="G21">
        <v>190.51</v>
      </c>
      <c r="H21">
        <v>461.91</v>
      </c>
      <c r="I21">
        <v>322295.32</v>
      </c>
      <c r="J21">
        <v>5127.79</v>
      </c>
      <c r="M21">
        <v>200</v>
      </c>
      <c r="N21">
        <v>40000</v>
      </c>
      <c r="O21">
        <v>1100</v>
      </c>
      <c r="P21">
        <v>90</v>
      </c>
      <c r="Q21">
        <v>1000</v>
      </c>
      <c r="R21">
        <v>126</v>
      </c>
      <c r="S21">
        <v>322295.32</v>
      </c>
      <c r="T21">
        <v>198.18947118992139</v>
      </c>
      <c r="U21">
        <f t="shared" ref="U21:U40" si="9">AE21/AF21</f>
        <v>0.30871251898002267</v>
      </c>
      <c r="V21">
        <f t="shared" ref="V21:V31" si="10">B21*L21</f>
        <v>0</v>
      </c>
      <c r="W21">
        <f t="shared" ref="W21:W31" si="11">C21*M21</f>
        <v>90392</v>
      </c>
      <c r="X21">
        <f t="shared" ref="X21:X31" si="12">D21*N21</f>
        <v>112400</v>
      </c>
      <c r="Y21">
        <f t="shared" ref="Y21:Y31" si="13">E21*O21</f>
        <v>199309</v>
      </c>
      <c r="Z21">
        <f t="shared" ref="Z21:Z31" si="14">F21*P21</f>
        <v>36599.4</v>
      </c>
      <c r="AA21">
        <f t="shared" ref="AA21:AA31" si="15">G21*Q21</f>
        <v>190510</v>
      </c>
      <c r="AB21">
        <f t="shared" ref="AB21:AB31" si="16">H21*R21</f>
        <v>58200.66</v>
      </c>
      <c r="AC21">
        <f t="shared" ref="AC21:AC30" si="17">S21</f>
        <v>322295.32</v>
      </c>
      <c r="AD21" s="1">
        <f t="shared" ref="AD21:AD36" si="18">A21</f>
        <v>45415</v>
      </c>
      <c r="AE21">
        <f t="shared" ref="AE21:AE31" si="19">Y21+X21</f>
        <v>311709</v>
      </c>
      <c r="AF21">
        <f t="shared" si="7"/>
        <v>1009706.3800000001</v>
      </c>
      <c r="AG21">
        <f>$AG$20/$AE$20*AE21</f>
        <v>1018366.2731610521</v>
      </c>
      <c r="AH21">
        <f t="shared" si="8"/>
        <v>1016273.9884729671</v>
      </c>
      <c r="AI21">
        <f t="shared" ref="AI21:AI30" si="20">(AE21-AE20)/AE20</f>
        <v>1.4641402814352351E-2</v>
      </c>
      <c r="AJ21">
        <f t="shared" ref="AJ21:AJ30" si="21">(AF21-AF20)/AF20</f>
        <v>6.0131848767355613E-3</v>
      </c>
      <c r="AK21">
        <f t="shared" ref="AK21:AK30" si="22">(AH21-AH20)/AH20</f>
        <v>1.2556771059594882E-2</v>
      </c>
      <c r="AL21">
        <f>1+AI21</f>
        <v>1.0146414028143524</v>
      </c>
      <c r="AM21">
        <f>1+AJ21</f>
        <v>1.0060131848767355</v>
      </c>
      <c r="AN21">
        <f>1+AK21</f>
        <v>1.0125567710595949</v>
      </c>
      <c r="AP21" s="6" t="s">
        <v>33</v>
      </c>
      <c r="AQ21" s="4">
        <f>AM30-1</f>
        <v>4.6459142911276174E-2</v>
      </c>
      <c r="AR21" s="4">
        <f>_xlfn.VAR.P(AJ26:AJ30)^0.5</f>
        <v>1.1434607551817801E-2</v>
      </c>
      <c r="AS21" s="4">
        <f>AQ21/AR21</f>
        <v>4.0630290721162874</v>
      </c>
      <c r="AT21" s="4">
        <f>AN30-1</f>
        <v>4.5989494885668059E-2</v>
      </c>
      <c r="AU21" s="4">
        <f>_xlfn.VAR.P(AK26:AK30)^0.5</f>
        <v>4.844468727193154E-3</v>
      </c>
      <c r="AV21" s="7">
        <f>AT21/AU21</f>
        <v>9.4931967725414541</v>
      </c>
    </row>
    <row r="22" spans="1:48" x14ac:dyDescent="0.25">
      <c r="A22" s="1">
        <v>45418</v>
      </c>
      <c r="B22">
        <v>921.4</v>
      </c>
      <c r="C22">
        <v>465.68</v>
      </c>
      <c r="D22">
        <v>2.83</v>
      </c>
      <c r="E22">
        <v>184.76</v>
      </c>
      <c r="F22">
        <v>413.54</v>
      </c>
      <c r="G22">
        <v>192</v>
      </c>
      <c r="H22">
        <v>462.78</v>
      </c>
      <c r="I22">
        <v>322295.32</v>
      </c>
      <c r="J22">
        <v>5180.74</v>
      </c>
      <c r="M22">
        <v>200</v>
      </c>
      <c r="N22">
        <v>40000</v>
      </c>
      <c r="O22">
        <v>1100</v>
      </c>
      <c r="P22">
        <v>90</v>
      </c>
      <c r="Q22">
        <v>1000</v>
      </c>
      <c r="R22">
        <v>126</v>
      </c>
      <c r="S22">
        <v>322295.32</v>
      </c>
      <c r="T22">
        <v>198.18947118992139</v>
      </c>
      <c r="U22">
        <f t="shared" si="9"/>
        <v>0.31041512613054673</v>
      </c>
      <c r="V22">
        <f t="shared" si="10"/>
        <v>0</v>
      </c>
      <c r="W22">
        <f t="shared" si="11"/>
        <v>93136</v>
      </c>
      <c r="X22">
        <f t="shared" si="12"/>
        <v>113200</v>
      </c>
      <c r="Y22">
        <f t="shared" si="13"/>
        <v>203236</v>
      </c>
      <c r="Z22">
        <f t="shared" si="14"/>
        <v>37218.6</v>
      </c>
      <c r="AA22">
        <f t="shared" si="15"/>
        <v>192000</v>
      </c>
      <c r="AB22">
        <f t="shared" si="16"/>
        <v>58310.28</v>
      </c>
      <c r="AC22">
        <f t="shared" si="17"/>
        <v>322295.32</v>
      </c>
      <c r="AD22" s="1">
        <f t="shared" si="18"/>
        <v>45418</v>
      </c>
      <c r="AE22">
        <f t="shared" si="19"/>
        <v>316436</v>
      </c>
      <c r="AF22">
        <f t="shared" si="7"/>
        <v>1019396.2</v>
      </c>
      <c r="AG22">
        <f t="shared" ref="AG22:AG31" si="23">$AG$20/$AE$20*AE22</f>
        <v>1033809.5788507572</v>
      </c>
      <c r="AH22">
        <f t="shared" si="8"/>
        <v>1026768.1209724733</v>
      </c>
      <c r="AI22">
        <f t="shared" si="20"/>
        <v>1.5164785104055384E-2</v>
      </c>
      <c r="AJ22">
        <f t="shared" si="21"/>
        <v>9.5966710639184341E-3</v>
      </c>
      <c r="AK22">
        <f t="shared" si="22"/>
        <v>1.032608589665323E-2</v>
      </c>
      <c r="AL22">
        <f>AL21*(1+AI22)</f>
        <v>1.0300282216457093</v>
      </c>
      <c r="AM22">
        <f>AM21*(1+AJ22)</f>
        <v>1.0156675624979625</v>
      </c>
      <c r="AN22">
        <f>AN21*(1+AK22)</f>
        <v>1.0230125192527941</v>
      </c>
      <c r="AP22" s="6" t="s">
        <v>34</v>
      </c>
      <c r="AQ22" s="4">
        <f>AM35-1</f>
        <v>6.3996790103913792E-2</v>
      </c>
      <c r="AR22" s="4">
        <f>_xlfn.VAR.P(AJ31:AJ35)^0.5</f>
        <v>9.457741941088324E-3</v>
      </c>
      <c r="AS22" s="4">
        <f t="shared" ref="AS22:AS23" si="24">AQ22/AR22</f>
        <v>6.7666035405222251</v>
      </c>
      <c r="AT22" s="4">
        <f>AN35-1</f>
        <v>4.0211682003080451E-2</v>
      </c>
      <c r="AU22" s="4">
        <f>_xlfn.VAR.P(AK31:AK35)^0.5</f>
        <v>3.5831889437374018E-3</v>
      </c>
      <c r="AV22" s="7">
        <f t="shared" ref="AV22:AV23" si="25">AT22/AU22</f>
        <v>11.222316945736649</v>
      </c>
    </row>
    <row r="23" spans="1:48" ht="15.75" thickBot="1" x14ac:dyDescent="0.3">
      <c r="A23" s="1">
        <v>45419</v>
      </c>
      <c r="B23">
        <v>905.54</v>
      </c>
      <c r="C23">
        <v>468.24</v>
      </c>
      <c r="D23">
        <v>2.84</v>
      </c>
      <c r="E23">
        <v>177.81</v>
      </c>
      <c r="F23">
        <v>409.34</v>
      </c>
      <c r="G23">
        <v>191.75</v>
      </c>
      <c r="H23">
        <v>466.68</v>
      </c>
      <c r="I23">
        <v>322295.32</v>
      </c>
      <c r="J23">
        <v>5187.7</v>
      </c>
      <c r="M23">
        <v>200</v>
      </c>
      <c r="N23">
        <v>40000</v>
      </c>
      <c r="O23">
        <v>1100</v>
      </c>
      <c r="P23">
        <v>90</v>
      </c>
      <c r="Q23">
        <v>1000</v>
      </c>
      <c r="R23">
        <v>126</v>
      </c>
      <c r="S23">
        <v>322295.32</v>
      </c>
      <c r="T23">
        <v>198.18947118992139</v>
      </c>
      <c r="U23">
        <f t="shared" si="9"/>
        <v>0.30536580471071079</v>
      </c>
      <c r="V23">
        <f t="shared" si="10"/>
        <v>0</v>
      </c>
      <c r="W23">
        <f t="shared" si="11"/>
        <v>93648</v>
      </c>
      <c r="X23">
        <f t="shared" si="12"/>
        <v>113600</v>
      </c>
      <c r="Y23">
        <f t="shared" si="13"/>
        <v>195591</v>
      </c>
      <c r="Z23">
        <f t="shared" si="14"/>
        <v>36840.6</v>
      </c>
      <c r="AA23">
        <f t="shared" si="15"/>
        <v>191750</v>
      </c>
      <c r="AB23">
        <f t="shared" si="16"/>
        <v>58801.68</v>
      </c>
      <c r="AC23">
        <f t="shared" si="17"/>
        <v>322295.32</v>
      </c>
      <c r="AD23" s="1">
        <f t="shared" si="18"/>
        <v>45419</v>
      </c>
      <c r="AE23">
        <f t="shared" si="19"/>
        <v>309191</v>
      </c>
      <c r="AF23">
        <f t="shared" si="7"/>
        <v>1012526.6000000001</v>
      </c>
      <c r="AG23">
        <f t="shared" si="23"/>
        <v>1010139.8623874795</v>
      </c>
      <c r="AH23">
        <f t="shared" si="8"/>
        <v>1028147.5196919552</v>
      </c>
      <c r="AI23">
        <f t="shared" si="20"/>
        <v>-2.2895625023701474E-2</v>
      </c>
      <c r="AJ23">
        <f t="shared" si="21"/>
        <v>-6.7388911200570107E-3</v>
      </c>
      <c r="AK23">
        <f t="shared" si="22"/>
        <v>1.3434374239973813E-3</v>
      </c>
      <c r="AL23">
        <f t="shared" ref="AL23:AL30" si="26">AL22*(1+AI23)</f>
        <v>1.0064450817190791</v>
      </c>
      <c r="AM23">
        <f t="shared" ref="AM23:AM25" si="27">AM22*(1+AJ23)</f>
        <v>1.0088230893801151</v>
      </c>
      <c r="AN23">
        <f t="shared" ref="AN23:AN25" si="28">AN22*(1+AK23)</f>
        <v>1.0243868725563761</v>
      </c>
      <c r="AP23" s="8" t="s">
        <v>35</v>
      </c>
      <c r="AQ23" s="9">
        <f>AM39-1</f>
        <v>0.1545828876694193</v>
      </c>
      <c r="AR23" s="9">
        <f>_xlfn.VAR.P(AJ36:AJ39)^0.5</f>
        <v>3.2844714202415894E-2</v>
      </c>
      <c r="AS23" s="9">
        <f t="shared" si="24"/>
        <v>4.7064768692080428</v>
      </c>
      <c r="AT23" s="9">
        <f>AN39-1</f>
        <v>3.3821728999644307E-2</v>
      </c>
      <c r="AU23" s="9">
        <f>_xlfn.VAR.P(AK36:AK39)^0.5</f>
        <v>5.6958533349985591E-3</v>
      </c>
      <c r="AV23" s="10">
        <f t="shared" si="25"/>
        <v>5.9379564413683878</v>
      </c>
    </row>
    <row r="24" spans="1:48" ht="15.75" thickBot="1" x14ac:dyDescent="0.3">
      <c r="A24" s="1">
        <v>45420</v>
      </c>
      <c r="B24">
        <v>904.12</v>
      </c>
      <c r="C24">
        <v>472.6</v>
      </c>
      <c r="D24">
        <v>2.88</v>
      </c>
      <c r="E24">
        <v>174.72</v>
      </c>
      <c r="F24">
        <v>410.54</v>
      </c>
      <c r="G24">
        <v>195.65</v>
      </c>
      <c r="H24">
        <v>466.16</v>
      </c>
      <c r="I24">
        <v>322295.32</v>
      </c>
      <c r="J24">
        <v>5187.67</v>
      </c>
      <c r="M24">
        <v>200</v>
      </c>
      <c r="N24">
        <v>40000</v>
      </c>
      <c r="O24">
        <v>1100</v>
      </c>
      <c r="P24">
        <v>90</v>
      </c>
      <c r="Q24">
        <v>1000</v>
      </c>
      <c r="R24">
        <v>126</v>
      </c>
      <c r="S24">
        <v>322295.32</v>
      </c>
      <c r="T24">
        <v>198.18947118992139</v>
      </c>
      <c r="U24">
        <f t="shared" si="9"/>
        <v>0.3026876050276518</v>
      </c>
      <c r="V24">
        <f t="shared" si="10"/>
        <v>0</v>
      </c>
      <c r="W24">
        <f t="shared" si="11"/>
        <v>94520</v>
      </c>
      <c r="X24">
        <f t="shared" si="12"/>
        <v>115200</v>
      </c>
      <c r="Y24">
        <f t="shared" si="13"/>
        <v>192192</v>
      </c>
      <c r="Z24">
        <f t="shared" si="14"/>
        <v>36948.6</v>
      </c>
      <c r="AA24">
        <f t="shared" si="15"/>
        <v>195650</v>
      </c>
      <c r="AB24">
        <f t="shared" si="16"/>
        <v>58736.160000000003</v>
      </c>
      <c r="AC24">
        <f t="shared" si="17"/>
        <v>322295.32</v>
      </c>
      <c r="AD24" s="1">
        <f t="shared" si="18"/>
        <v>45420</v>
      </c>
      <c r="AE24">
        <f t="shared" si="19"/>
        <v>307392</v>
      </c>
      <c r="AF24">
        <f t="shared" si="7"/>
        <v>1015542.0800000001</v>
      </c>
      <c r="AG24">
        <f t="shared" si="23"/>
        <v>1004262.4545313807</v>
      </c>
      <c r="AH24">
        <f t="shared" si="8"/>
        <v>1028141.5740078195</v>
      </c>
      <c r="AI24">
        <f t="shared" si="20"/>
        <v>-5.8184099795919025E-3</v>
      </c>
      <c r="AJ24">
        <f t="shared" si="21"/>
        <v>2.9781736104513017E-3</v>
      </c>
      <c r="AK24">
        <f t="shared" si="22"/>
        <v>-5.7829095745327112E-6</v>
      </c>
      <c r="AL24">
        <f t="shared" si="26"/>
        <v>1.0005891716116937</v>
      </c>
      <c r="AM24">
        <f t="shared" si="27"/>
        <v>1.0118275396825209</v>
      </c>
      <c r="AN24">
        <f t="shared" si="28"/>
        <v>1.0243809486197226</v>
      </c>
    </row>
    <row r="25" spans="1:48" x14ac:dyDescent="0.25">
      <c r="A25" s="1">
        <v>45421</v>
      </c>
      <c r="B25">
        <v>887.47</v>
      </c>
      <c r="C25">
        <v>475.42</v>
      </c>
      <c r="D25">
        <v>3.07</v>
      </c>
      <c r="E25">
        <v>171.97</v>
      </c>
      <c r="F25">
        <v>412.32</v>
      </c>
      <c r="G25">
        <v>197.5</v>
      </c>
      <c r="H25">
        <v>468.39</v>
      </c>
      <c r="I25">
        <v>322295.32</v>
      </c>
      <c r="J25">
        <v>5214.08</v>
      </c>
      <c r="M25">
        <v>200</v>
      </c>
      <c r="N25">
        <v>40000</v>
      </c>
      <c r="O25">
        <v>1100</v>
      </c>
      <c r="P25">
        <v>90</v>
      </c>
      <c r="Q25">
        <v>1000</v>
      </c>
      <c r="R25">
        <v>126</v>
      </c>
      <c r="S25">
        <v>322295.32</v>
      </c>
      <c r="T25">
        <v>198.18947118992139</v>
      </c>
      <c r="U25">
        <f t="shared" si="9"/>
        <v>0.30496134860978535</v>
      </c>
      <c r="V25">
        <f t="shared" si="10"/>
        <v>0</v>
      </c>
      <c r="W25">
        <f t="shared" si="11"/>
        <v>95084</v>
      </c>
      <c r="X25">
        <f t="shared" si="12"/>
        <v>122800</v>
      </c>
      <c r="Y25">
        <f t="shared" si="13"/>
        <v>189167</v>
      </c>
      <c r="Z25">
        <f t="shared" si="14"/>
        <v>37108.800000000003</v>
      </c>
      <c r="AA25">
        <f t="shared" si="15"/>
        <v>197500</v>
      </c>
      <c r="AB25">
        <f t="shared" si="16"/>
        <v>59017.14</v>
      </c>
      <c r="AC25">
        <f t="shared" si="17"/>
        <v>322295.32</v>
      </c>
      <c r="AD25" s="1">
        <f t="shared" si="18"/>
        <v>45421</v>
      </c>
      <c r="AE25">
        <f t="shared" si="19"/>
        <v>311967</v>
      </c>
      <c r="AF25">
        <f t="shared" si="7"/>
        <v>1022972.26</v>
      </c>
      <c r="AG25">
        <f t="shared" si="23"/>
        <v>1019209.1698963904</v>
      </c>
      <c r="AH25">
        <f t="shared" si="8"/>
        <v>1033375.7579419453</v>
      </c>
      <c r="AI25">
        <f t="shared" si="20"/>
        <v>1.4883276077451593E-2</v>
      </c>
      <c r="AJ25">
        <f t="shared" si="21"/>
        <v>7.3164668863351622E-3</v>
      </c>
      <c r="AK25">
        <f t="shared" si="22"/>
        <v>5.0909175024625624E-3</v>
      </c>
      <c r="AL25">
        <f t="shared" si="26"/>
        <v>1.015481216492899</v>
      </c>
      <c r="AM25">
        <f t="shared" si="27"/>
        <v>1.0192305423712902</v>
      </c>
      <c r="AN25">
        <f t="shared" si="28"/>
        <v>1.0295959875202398</v>
      </c>
      <c r="AP25" s="5"/>
      <c r="AQ25" s="11" t="s">
        <v>27</v>
      </c>
      <c r="AR25" s="11"/>
      <c r="AS25" s="11"/>
      <c r="AT25" s="11" t="s">
        <v>37</v>
      </c>
      <c r="AU25" s="11"/>
      <c r="AV25" s="12"/>
    </row>
    <row r="26" spans="1:48" x14ac:dyDescent="0.25">
      <c r="A26" s="1">
        <v>45422</v>
      </c>
      <c r="B26">
        <v>898.78</v>
      </c>
      <c r="C26">
        <v>476.2</v>
      </c>
      <c r="D26">
        <v>2.83</v>
      </c>
      <c r="E26">
        <v>168.47</v>
      </c>
      <c r="F26">
        <v>414.74</v>
      </c>
      <c r="G26">
        <v>198.77</v>
      </c>
      <c r="H26">
        <v>468.88</v>
      </c>
      <c r="I26">
        <v>322295.32</v>
      </c>
      <c r="J26">
        <v>5222.68</v>
      </c>
      <c r="M26">
        <v>200</v>
      </c>
      <c r="N26">
        <v>40000</v>
      </c>
      <c r="O26">
        <v>1100</v>
      </c>
      <c r="P26">
        <v>90</v>
      </c>
      <c r="Q26">
        <v>1000</v>
      </c>
      <c r="R26">
        <v>126</v>
      </c>
      <c r="S26">
        <v>322295.32</v>
      </c>
      <c r="T26">
        <v>198.18947118992139</v>
      </c>
      <c r="U26">
        <f t="shared" si="9"/>
        <v>0.29520252508880784</v>
      </c>
      <c r="V26">
        <f t="shared" si="10"/>
        <v>0</v>
      </c>
      <c r="W26">
        <f t="shared" si="11"/>
        <v>95240</v>
      </c>
      <c r="X26">
        <f t="shared" si="12"/>
        <v>113200</v>
      </c>
      <c r="Y26">
        <f t="shared" si="13"/>
        <v>185317</v>
      </c>
      <c r="Z26">
        <f t="shared" si="14"/>
        <v>37326.6</v>
      </c>
      <c r="AA26">
        <f t="shared" si="15"/>
        <v>198770</v>
      </c>
      <c r="AB26">
        <f t="shared" si="16"/>
        <v>59078.879999999997</v>
      </c>
      <c r="AC26">
        <f t="shared" si="17"/>
        <v>322295.32</v>
      </c>
      <c r="AD26" s="1">
        <f t="shared" si="18"/>
        <v>45422</v>
      </c>
      <c r="AE26">
        <f t="shared" si="19"/>
        <v>298517</v>
      </c>
      <c r="AF26">
        <f t="shared" si="7"/>
        <v>1011227.8</v>
      </c>
      <c r="AG26">
        <f t="shared" si="23"/>
        <v>975267.46024406666</v>
      </c>
      <c r="AH26">
        <f t="shared" si="8"/>
        <v>1035080.1873941787</v>
      </c>
      <c r="AI26">
        <f t="shared" si="20"/>
        <v>-4.3113534444348282E-2</v>
      </c>
      <c r="AJ26">
        <f t="shared" si="21"/>
        <v>-1.1480721872164904E-2</v>
      </c>
      <c r="AK26">
        <f t="shared" si="22"/>
        <v>1.6493801399288487E-3</v>
      </c>
      <c r="AL26">
        <f t="shared" si="26"/>
        <v>0.97170023208804368</v>
      </c>
      <c r="AM26">
        <f t="shared" ref="AM26:AM30" si="29">AM25*(1+AJ26)</f>
        <v>1.0075290399907098</v>
      </c>
      <c r="AN26">
        <f t="shared" ref="AN26:AN30" si="30">AN25*(1+AK26)</f>
        <v>1.0312941826942061</v>
      </c>
      <c r="AP26" s="6"/>
      <c r="AQ26" s="4" t="s">
        <v>30</v>
      </c>
      <c r="AR26" s="4" t="s">
        <v>36</v>
      </c>
      <c r="AS26" s="4" t="s">
        <v>31</v>
      </c>
      <c r="AT26" s="4" t="s">
        <v>30</v>
      </c>
      <c r="AU26" s="4" t="s">
        <v>36</v>
      </c>
      <c r="AV26" s="7" t="s">
        <v>31</v>
      </c>
    </row>
    <row r="27" spans="1:48" x14ac:dyDescent="0.25">
      <c r="A27" s="1">
        <v>45425</v>
      </c>
      <c r="B27">
        <v>903.99</v>
      </c>
      <c r="C27">
        <v>468.01</v>
      </c>
      <c r="D27">
        <v>3.01</v>
      </c>
      <c r="E27">
        <v>171.89</v>
      </c>
      <c r="F27">
        <v>413.72</v>
      </c>
      <c r="G27">
        <v>198.73</v>
      </c>
      <c r="H27">
        <v>470.56</v>
      </c>
      <c r="I27">
        <v>322295.32</v>
      </c>
      <c r="J27">
        <v>5221.42</v>
      </c>
      <c r="M27">
        <v>200</v>
      </c>
      <c r="N27">
        <v>40000</v>
      </c>
      <c r="O27">
        <v>1100</v>
      </c>
      <c r="P27">
        <v>90</v>
      </c>
      <c r="Q27">
        <v>1000</v>
      </c>
      <c r="R27">
        <v>126</v>
      </c>
      <c r="S27">
        <v>322295.32</v>
      </c>
      <c r="T27">
        <v>198.18947118992139</v>
      </c>
      <c r="U27">
        <f t="shared" si="9"/>
        <v>0.30322300009343223</v>
      </c>
      <c r="V27">
        <f t="shared" si="10"/>
        <v>0</v>
      </c>
      <c r="W27">
        <f t="shared" si="11"/>
        <v>93602</v>
      </c>
      <c r="X27">
        <f t="shared" si="12"/>
        <v>120399.99999999999</v>
      </c>
      <c r="Y27">
        <f t="shared" si="13"/>
        <v>189078.99999999997</v>
      </c>
      <c r="Z27">
        <f t="shared" si="14"/>
        <v>37234.800000000003</v>
      </c>
      <c r="AA27">
        <f t="shared" si="15"/>
        <v>198730</v>
      </c>
      <c r="AB27">
        <f t="shared" si="16"/>
        <v>59290.559999999998</v>
      </c>
      <c r="AC27">
        <f t="shared" si="17"/>
        <v>322295.32</v>
      </c>
      <c r="AD27" s="1">
        <f t="shared" si="18"/>
        <v>45425</v>
      </c>
      <c r="AE27">
        <f t="shared" si="19"/>
        <v>309478.99999999994</v>
      </c>
      <c r="AF27">
        <f t="shared" si="7"/>
        <v>1020631.6800000002</v>
      </c>
      <c r="AG27">
        <f t="shared" si="23"/>
        <v>1011080.7703711127</v>
      </c>
      <c r="AH27">
        <f t="shared" si="8"/>
        <v>1034830.4686604794</v>
      </c>
      <c r="AI27">
        <f t="shared" si="20"/>
        <v>3.6721526747220234E-2</v>
      </c>
      <c r="AJ27">
        <f t="shared" si="21"/>
        <v>9.2994674394830928E-3</v>
      </c>
      <c r="AK27">
        <f t="shared" si="22"/>
        <v>-2.4125544739481719E-4</v>
      </c>
      <c r="AL27">
        <f t="shared" si="26"/>
        <v>1.0073825481509449</v>
      </c>
      <c r="AM27">
        <f t="shared" si="29"/>
        <v>1.016898523492437</v>
      </c>
      <c r="AN27">
        <f t="shared" si="30"/>
        <v>1.0310453773547645</v>
      </c>
      <c r="AP27" s="6" t="s">
        <v>32</v>
      </c>
      <c r="AQ27" s="4">
        <v>1.9230542371290182E-2</v>
      </c>
      <c r="AR27" s="4">
        <v>5.7026881681417237E-3</v>
      </c>
      <c r="AS27" s="4">
        <v>3.3721890105656334</v>
      </c>
      <c r="AT27" s="4">
        <f>AL25-1</f>
        <v>1.5481216492899019E-2</v>
      </c>
      <c r="AU27" s="4">
        <f>_xlfn.VAR.P(AI21:AI25)^0.5</f>
        <v>1.5315834708165299E-2</v>
      </c>
      <c r="AV27" s="7">
        <f>AT27/AU27</f>
        <v>1.0107980915101904</v>
      </c>
    </row>
    <row r="28" spans="1:48" x14ac:dyDescent="0.25">
      <c r="A28" s="1">
        <v>45426</v>
      </c>
      <c r="B28">
        <v>913.56</v>
      </c>
      <c r="C28">
        <v>471.85</v>
      </c>
      <c r="D28">
        <v>3.2</v>
      </c>
      <c r="E28">
        <v>177.55</v>
      </c>
      <c r="F28">
        <v>416.56</v>
      </c>
      <c r="G28">
        <v>201.51</v>
      </c>
      <c r="H28">
        <v>467.18</v>
      </c>
      <c r="I28">
        <v>3205.3999999999651</v>
      </c>
      <c r="J28">
        <v>5246.68</v>
      </c>
      <c r="L28">
        <v>356</v>
      </c>
      <c r="M28">
        <v>200</v>
      </c>
      <c r="N28">
        <v>40000</v>
      </c>
      <c r="O28">
        <v>1100</v>
      </c>
      <c r="P28">
        <v>90</v>
      </c>
      <c r="Q28">
        <v>1000</v>
      </c>
      <c r="R28">
        <v>126</v>
      </c>
      <c r="S28">
        <v>3205.3999999999651</v>
      </c>
      <c r="T28">
        <v>198.18947118992139</v>
      </c>
      <c r="U28">
        <f t="shared" si="9"/>
        <v>0.30968717538667001</v>
      </c>
      <c r="V28">
        <f t="shared" si="10"/>
        <v>325227.36</v>
      </c>
      <c r="W28">
        <f t="shared" si="11"/>
        <v>94370</v>
      </c>
      <c r="X28">
        <f t="shared" si="12"/>
        <v>128000</v>
      </c>
      <c r="Y28">
        <f t="shared" si="13"/>
        <v>195305</v>
      </c>
      <c r="Z28">
        <f t="shared" si="14"/>
        <v>37490.400000000001</v>
      </c>
      <c r="AA28">
        <f t="shared" si="15"/>
        <v>201510</v>
      </c>
      <c r="AB28">
        <f t="shared" si="16"/>
        <v>58864.68</v>
      </c>
      <c r="AC28">
        <f t="shared" si="17"/>
        <v>3205.3999999999651</v>
      </c>
      <c r="AD28" s="1">
        <f t="shared" si="18"/>
        <v>45426</v>
      </c>
      <c r="AE28">
        <f t="shared" si="19"/>
        <v>323305</v>
      </c>
      <c r="AF28">
        <f t="shared" si="7"/>
        <v>1043972.8400000001</v>
      </c>
      <c r="AG28">
        <f t="shared" si="23"/>
        <v>1056250.8876687358</v>
      </c>
      <c r="AH28">
        <f t="shared" si="8"/>
        <v>1039836.7347027368</v>
      </c>
      <c r="AI28">
        <f t="shared" si="20"/>
        <v>4.4675082962010546E-2</v>
      </c>
      <c r="AJ28">
        <f t="shared" si="21"/>
        <v>2.2869327356172121E-2</v>
      </c>
      <c r="AK28">
        <f t="shared" si="22"/>
        <v>4.8377644395585992E-3</v>
      </c>
      <c r="AL28">
        <f t="shared" si="26"/>
        <v>1.0523874470640699</v>
      </c>
      <c r="AM28">
        <f t="shared" si="29"/>
        <v>1.0401543087141938</v>
      </c>
      <c r="AN28">
        <f t="shared" si="30"/>
        <v>1.0360333320169026</v>
      </c>
      <c r="AP28" s="6" t="s">
        <v>33</v>
      </c>
      <c r="AQ28" s="4">
        <v>4.6459142911276174E-2</v>
      </c>
      <c r="AR28" s="4">
        <v>1.1434607551817801E-2</v>
      </c>
      <c r="AS28" s="4">
        <v>4.0630290721162874</v>
      </c>
      <c r="AT28" s="4">
        <f>AL30-1</f>
        <v>3.487179821035058E-2</v>
      </c>
      <c r="AU28" s="4">
        <f>_xlfn.VAR.P(AI26:AI30)^0.5</f>
        <v>3.3340652740234213E-2</v>
      </c>
      <c r="AV28" s="7">
        <f>AT28/AU28</f>
        <v>1.0459242799487438</v>
      </c>
    </row>
    <row r="29" spans="1:48" x14ac:dyDescent="0.25">
      <c r="A29" s="1">
        <v>45427</v>
      </c>
      <c r="B29">
        <v>946.3</v>
      </c>
      <c r="C29">
        <v>481.54</v>
      </c>
      <c r="D29">
        <v>3.13</v>
      </c>
      <c r="E29">
        <v>173.99</v>
      </c>
      <c r="F29">
        <v>423.08</v>
      </c>
      <c r="G29">
        <v>202.11</v>
      </c>
      <c r="H29">
        <v>464.08</v>
      </c>
      <c r="I29">
        <v>3205.3999999999651</v>
      </c>
      <c r="J29">
        <v>5308.15</v>
      </c>
      <c r="L29">
        <v>356</v>
      </c>
      <c r="M29">
        <v>200</v>
      </c>
      <c r="N29">
        <v>40000</v>
      </c>
      <c r="O29">
        <v>1100</v>
      </c>
      <c r="P29">
        <v>90</v>
      </c>
      <c r="Q29">
        <v>1000</v>
      </c>
      <c r="R29">
        <v>126</v>
      </c>
      <c r="S29">
        <v>3205.3999999999651</v>
      </c>
      <c r="T29">
        <v>198.18947118992139</v>
      </c>
      <c r="U29">
        <f t="shared" si="9"/>
        <v>0.30104127767346306</v>
      </c>
      <c r="V29">
        <f t="shared" si="10"/>
        <v>336882.8</v>
      </c>
      <c r="W29">
        <f t="shared" si="11"/>
        <v>96308</v>
      </c>
      <c r="X29">
        <f t="shared" si="12"/>
        <v>125200</v>
      </c>
      <c r="Y29">
        <f t="shared" si="13"/>
        <v>191389</v>
      </c>
      <c r="Z29">
        <f t="shared" si="14"/>
        <v>38077.199999999997</v>
      </c>
      <c r="AA29">
        <f t="shared" si="15"/>
        <v>202110</v>
      </c>
      <c r="AB29">
        <f t="shared" si="16"/>
        <v>58474.079999999994</v>
      </c>
      <c r="AC29">
        <f t="shared" si="17"/>
        <v>3205.3999999999651</v>
      </c>
      <c r="AD29" s="1">
        <f t="shared" si="18"/>
        <v>45427</v>
      </c>
      <c r="AE29">
        <f t="shared" si="19"/>
        <v>316589</v>
      </c>
      <c r="AF29">
        <f t="shared" si="7"/>
        <v>1051646.48</v>
      </c>
      <c r="AG29">
        <f t="shared" si="23"/>
        <v>1034309.4362170624</v>
      </c>
      <c r="AH29">
        <f t="shared" si="8"/>
        <v>1052019.4414967811</v>
      </c>
      <c r="AI29">
        <f t="shared" si="20"/>
        <v>-2.0772954331049628E-2</v>
      </c>
      <c r="AJ29">
        <f t="shared" si="21"/>
        <v>7.3504211086563298E-3</v>
      </c>
      <c r="AK29">
        <f t="shared" si="22"/>
        <v>1.1715980391409201E-2</v>
      </c>
      <c r="AL29">
        <f t="shared" si="26"/>
        <v>1.030526250687638</v>
      </c>
      <c r="AM29">
        <f t="shared" si="29"/>
        <v>1.0477998809012266</v>
      </c>
      <c r="AN29">
        <f t="shared" si="30"/>
        <v>1.0481714782196592</v>
      </c>
      <c r="AP29" s="6" t="s">
        <v>34</v>
      </c>
      <c r="AQ29" s="4">
        <v>6.3996790103913792E-2</v>
      </c>
      <c r="AR29" s="4">
        <v>9.457741941088324E-3</v>
      </c>
      <c r="AS29" s="4">
        <v>6.7666035405222251</v>
      </c>
      <c r="AT29" s="4">
        <f>AL35-1</f>
        <v>-0.10040330587120894</v>
      </c>
      <c r="AU29" s="4">
        <f>_xlfn.VAR.P(AI31:AI35)^0.5</f>
        <v>6.0245858843591293E-2</v>
      </c>
      <c r="AV29" s="7">
        <f t="shared" ref="AV29:AV30" si="31">AT29/AU29</f>
        <v>-1.6665594581674625</v>
      </c>
    </row>
    <row r="30" spans="1:48" ht="15.75" thickBot="1" x14ac:dyDescent="0.3">
      <c r="A30" s="1">
        <v>45428</v>
      </c>
      <c r="B30">
        <v>943.59</v>
      </c>
      <c r="C30">
        <v>473.23</v>
      </c>
      <c r="D30">
        <v>3.14</v>
      </c>
      <c r="E30">
        <v>174.84</v>
      </c>
      <c r="F30">
        <v>420.99</v>
      </c>
      <c r="G30">
        <v>202.47</v>
      </c>
      <c r="H30">
        <v>464.83</v>
      </c>
      <c r="I30">
        <v>263923.68</v>
      </c>
      <c r="J30">
        <v>5297.1</v>
      </c>
      <c r="L30">
        <v>356</v>
      </c>
      <c r="M30">
        <v>200</v>
      </c>
      <c r="N30">
        <v>40000</v>
      </c>
      <c r="O30">
        <v>1100</v>
      </c>
      <c r="P30">
        <v>90</v>
      </c>
      <c r="S30">
        <v>263923.68</v>
      </c>
      <c r="T30">
        <v>198.18947118992139</v>
      </c>
      <c r="U30">
        <f t="shared" si="9"/>
        <v>0.30269804035761866</v>
      </c>
      <c r="V30">
        <f t="shared" si="10"/>
        <v>335918.04000000004</v>
      </c>
      <c r="W30">
        <f t="shared" si="11"/>
        <v>94646</v>
      </c>
      <c r="X30">
        <f t="shared" si="12"/>
        <v>125600</v>
      </c>
      <c r="Y30">
        <f t="shared" si="13"/>
        <v>192324</v>
      </c>
      <c r="Z30">
        <f t="shared" si="14"/>
        <v>37889.1</v>
      </c>
      <c r="AA30">
        <f t="shared" si="15"/>
        <v>0</v>
      </c>
      <c r="AB30">
        <f t="shared" si="16"/>
        <v>0</v>
      </c>
      <c r="AC30">
        <f t="shared" si="17"/>
        <v>263923.68</v>
      </c>
      <c r="AD30" s="1">
        <f t="shared" si="18"/>
        <v>45428</v>
      </c>
      <c r="AE30">
        <f t="shared" si="19"/>
        <v>317924</v>
      </c>
      <c r="AF30">
        <f t="shared" si="7"/>
        <v>1050300.82</v>
      </c>
      <c r="AG30">
        <f t="shared" si="23"/>
        <v>1038670.9367661964</v>
      </c>
      <c r="AH30">
        <f t="shared" si="8"/>
        <v>1049829.4478401328</v>
      </c>
      <c r="AI30">
        <f t="shared" si="20"/>
        <v>4.2168237051824287E-3</v>
      </c>
      <c r="AJ30">
        <f t="shared" si="21"/>
        <v>-1.2795744821015483E-3</v>
      </c>
      <c r="AK30">
        <f t="shared" si="22"/>
        <v>-2.0817045486654379E-3</v>
      </c>
      <c r="AL30">
        <f t="shared" si="26"/>
        <v>1.0348717982103506</v>
      </c>
      <c r="AM30">
        <f t="shared" si="29"/>
        <v>1.0464591429112762</v>
      </c>
      <c r="AN30">
        <f t="shared" si="30"/>
        <v>1.0459894948856681</v>
      </c>
      <c r="AP30" s="8" t="s">
        <v>35</v>
      </c>
      <c r="AQ30" s="9">
        <v>0.1545828876694193</v>
      </c>
      <c r="AR30" s="9">
        <v>3.2844714202415894E-2</v>
      </c>
      <c r="AS30" s="9">
        <v>4.7064768692080428</v>
      </c>
      <c r="AT30" s="9">
        <f>AL39-1</f>
        <v>-6.60783630794467E-2</v>
      </c>
      <c r="AU30" s="9">
        <f>_xlfn.VAR.P(AI36:AI39)^0.5</f>
        <v>1.9342676490263711E-2</v>
      </c>
      <c r="AV30" s="10">
        <f t="shared" si="31"/>
        <v>-3.4161954325559738</v>
      </c>
    </row>
    <row r="31" spans="1:48" x14ac:dyDescent="0.25">
      <c r="A31" s="1">
        <v>45429</v>
      </c>
      <c r="B31">
        <v>924.79</v>
      </c>
      <c r="C31">
        <v>471.91</v>
      </c>
      <c r="D31">
        <v>3.07</v>
      </c>
      <c r="E31">
        <v>177.46</v>
      </c>
      <c r="F31">
        <v>420.21</v>
      </c>
      <c r="G31">
        <v>204.79</v>
      </c>
      <c r="H31">
        <v>466.2</v>
      </c>
      <c r="I31">
        <v>820.56</v>
      </c>
      <c r="J31">
        <v>5303.27</v>
      </c>
      <c r="L31">
        <v>635</v>
      </c>
      <c r="M31">
        <v>200</v>
      </c>
      <c r="N31">
        <v>40000</v>
      </c>
      <c r="O31">
        <v>1100</v>
      </c>
      <c r="P31">
        <v>90</v>
      </c>
      <c r="S31">
        <v>820.56</v>
      </c>
      <c r="T31">
        <v>198.18947118992139</v>
      </c>
      <c r="U31">
        <f t="shared" si="9"/>
        <v>0.30628475501886016</v>
      </c>
      <c r="V31">
        <f t="shared" si="10"/>
        <v>587241.65</v>
      </c>
      <c r="W31">
        <f t="shared" si="11"/>
        <v>94382</v>
      </c>
      <c r="X31">
        <f t="shared" si="12"/>
        <v>122800</v>
      </c>
      <c r="Y31">
        <f t="shared" si="13"/>
        <v>195206</v>
      </c>
      <c r="Z31">
        <f t="shared" si="14"/>
        <v>37818.9</v>
      </c>
      <c r="AA31">
        <f t="shared" si="15"/>
        <v>0</v>
      </c>
      <c r="AB31">
        <f t="shared" si="16"/>
        <v>0</v>
      </c>
      <c r="AC31">
        <v>820.56</v>
      </c>
      <c r="AD31" s="1">
        <f t="shared" si="18"/>
        <v>45429</v>
      </c>
      <c r="AE31">
        <f t="shared" si="19"/>
        <v>318006</v>
      </c>
      <c r="AF31">
        <f t="shared" si="7"/>
        <v>1038269.1100000001</v>
      </c>
      <c r="AG31">
        <f t="shared" si="23"/>
        <v>1038938.8341782031</v>
      </c>
      <c r="AH31">
        <f t="shared" si="8"/>
        <v>1051052.2768773746</v>
      </c>
      <c r="AI31">
        <f t="shared" ref="AI31:AI34" si="32">(AE31-AE30)/AE30</f>
        <v>2.5792327726123222E-4</v>
      </c>
      <c r="AJ31">
        <f t="shared" ref="AJ31:AJ34" si="33">(AF31-AF30)/AF30</f>
        <v>-1.1455489485383779E-2</v>
      </c>
      <c r="AK31">
        <f t="shared" ref="AK31:AK34" si="34">(AH31-AH30)/AH30</f>
        <v>1.1647882803798833E-3</v>
      </c>
      <c r="AL31">
        <f t="shared" ref="AL31:AL34" si="35">AL30*(1+AI31)</f>
        <v>1.0351387157360903</v>
      </c>
      <c r="AM31">
        <f t="shared" ref="AM31:AM34" si="36">AM30*(1+AJ31)</f>
        <v>1.0344714412027722</v>
      </c>
      <c r="AN31">
        <f t="shared" ref="AN31:AN34" si="37">AN30*(1+AK31)</f>
        <v>1.0472078511907112</v>
      </c>
    </row>
    <row r="32" spans="1:48" x14ac:dyDescent="0.25">
      <c r="A32" s="1">
        <v>45432</v>
      </c>
      <c r="B32">
        <v>947.8</v>
      </c>
      <c r="C32">
        <v>468.84</v>
      </c>
      <c r="D32">
        <v>3.08</v>
      </c>
      <c r="E32">
        <v>174.95</v>
      </c>
      <c r="F32">
        <v>425.34</v>
      </c>
      <c r="G32">
        <v>195.58</v>
      </c>
      <c r="H32">
        <v>467.08</v>
      </c>
      <c r="I32">
        <v>820.56</v>
      </c>
      <c r="J32">
        <v>5308.13</v>
      </c>
      <c r="L32">
        <v>635</v>
      </c>
      <c r="M32">
        <v>200</v>
      </c>
      <c r="N32">
        <v>40000</v>
      </c>
      <c r="O32">
        <v>1100</v>
      </c>
      <c r="P32">
        <v>90</v>
      </c>
      <c r="S32">
        <v>820.56</v>
      </c>
      <c r="T32">
        <v>198.18947118992139</v>
      </c>
      <c r="U32">
        <f t="shared" si="9"/>
        <v>0.30050920480034804</v>
      </c>
      <c r="V32">
        <f t="shared" ref="V32:V39" si="38">B32*L32</f>
        <v>601853</v>
      </c>
      <c r="W32">
        <f t="shared" ref="W32:W39" si="39">C32*M32</f>
        <v>93768</v>
      </c>
      <c r="X32">
        <f t="shared" ref="X32:X36" si="40">D32*N32</f>
        <v>123200</v>
      </c>
      <c r="Y32">
        <f t="shared" ref="Y32:Y36" si="41">E32*O32</f>
        <v>192445</v>
      </c>
      <c r="Z32">
        <f t="shared" ref="Z32:Z36" si="42">F32*P32</f>
        <v>38280.6</v>
      </c>
      <c r="AA32">
        <f t="shared" ref="AA32:AA36" si="43">G32*Q32</f>
        <v>0</v>
      </c>
      <c r="AB32">
        <f t="shared" ref="AB32:AB36" si="44">H32*R32</f>
        <v>0</v>
      </c>
      <c r="AC32">
        <v>820.56</v>
      </c>
      <c r="AD32" s="1">
        <f t="shared" si="18"/>
        <v>45432</v>
      </c>
      <c r="AE32">
        <f t="shared" ref="AE32:AE36" si="45">Y32+X32</f>
        <v>315645</v>
      </c>
      <c r="AF32">
        <f t="shared" ref="AF32:AF36" si="46">SUM(V32:AC32)</f>
        <v>1050367.1600000001</v>
      </c>
      <c r="AG32">
        <f t="shared" ref="AG32:AG34" si="47">$AG$20/$AE$20*AE32</f>
        <v>1031225.3489373752</v>
      </c>
      <c r="AH32">
        <f t="shared" ref="AH32:AH36" si="48">T32*J32</f>
        <v>1052015.4777073574</v>
      </c>
      <c r="AI32">
        <f t="shared" si="32"/>
        <v>-7.4243882190902057E-3</v>
      </c>
      <c r="AJ32">
        <f t="shared" si="33"/>
        <v>1.1652133231624357E-2</v>
      </c>
      <c r="AK32">
        <f t="shared" si="34"/>
        <v>9.1641572086631181E-4</v>
      </c>
      <c r="AL32">
        <f t="shared" si="35"/>
        <v>1.0274534440498551</v>
      </c>
      <c r="AM32">
        <f t="shared" si="36"/>
        <v>1.0465252402599774</v>
      </c>
      <c r="AN32">
        <f t="shared" si="37"/>
        <v>1.048167528928557</v>
      </c>
    </row>
    <row r="33" spans="1:41" x14ac:dyDescent="0.25">
      <c r="A33" s="1">
        <v>45433</v>
      </c>
      <c r="B33">
        <v>953.86</v>
      </c>
      <c r="C33">
        <v>464.63</v>
      </c>
      <c r="D33">
        <v>2.99</v>
      </c>
      <c r="E33">
        <v>186.6</v>
      </c>
      <c r="F33">
        <v>429.04</v>
      </c>
      <c r="G33">
        <v>199.52</v>
      </c>
      <c r="H33">
        <v>468.31</v>
      </c>
      <c r="I33">
        <v>820.56</v>
      </c>
      <c r="J33">
        <v>5321.41</v>
      </c>
      <c r="L33">
        <v>635</v>
      </c>
      <c r="M33">
        <v>200</v>
      </c>
      <c r="N33">
        <v>40000</v>
      </c>
      <c r="O33">
        <v>1100</v>
      </c>
      <c r="P33">
        <v>90</v>
      </c>
      <c r="S33">
        <v>820.56</v>
      </c>
      <c r="T33">
        <v>198.18947118992139</v>
      </c>
      <c r="U33">
        <f t="shared" si="9"/>
        <v>0.30562941228591101</v>
      </c>
      <c r="V33">
        <f t="shared" si="38"/>
        <v>605701.1</v>
      </c>
      <c r="W33">
        <f t="shared" si="39"/>
        <v>92926</v>
      </c>
      <c r="X33">
        <f t="shared" si="40"/>
        <v>119600.00000000001</v>
      </c>
      <c r="Y33">
        <f t="shared" si="41"/>
        <v>205260</v>
      </c>
      <c r="Z33">
        <f t="shared" si="42"/>
        <v>38613.599999999999</v>
      </c>
      <c r="AA33">
        <f t="shared" si="43"/>
        <v>0</v>
      </c>
      <c r="AB33">
        <f t="shared" si="44"/>
        <v>0</v>
      </c>
      <c r="AC33">
        <v>820.56</v>
      </c>
      <c r="AD33" s="1">
        <f t="shared" si="18"/>
        <v>45433</v>
      </c>
      <c r="AE33">
        <f t="shared" si="45"/>
        <v>324860</v>
      </c>
      <c r="AF33">
        <f t="shared" si="46"/>
        <v>1062921.26</v>
      </c>
      <c r="AG33">
        <f t="shared" si="47"/>
        <v>1061331.1373720341</v>
      </c>
      <c r="AH33">
        <f t="shared" si="48"/>
        <v>1054647.4338847597</v>
      </c>
      <c r="AI33">
        <f t="shared" si="32"/>
        <v>2.9194189675109696E-2</v>
      </c>
      <c r="AJ33">
        <f t="shared" si="33"/>
        <v>1.1952106347269899E-2</v>
      </c>
      <c r="AK33">
        <f t="shared" si="34"/>
        <v>2.5018226757823688E-3</v>
      </c>
      <c r="AL33">
        <f t="shared" si="35"/>
        <v>1.0574491147777914</v>
      </c>
      <c r="AM33">
        <f t="shared" si="36"/>
        <v>1.0590334212266668</v>
      </c>
      <c r="AN33">
        <f t="shared" si="37"/>
        <v>1.0507898582204493</v>
      </c>
    </row>
    <row r="34" spans="1:41" x14ac:dyDescent="0.25">
      <c r="A34" s="1">
        <v>45434</v>
      </c>
      <c r="B34">
        <v>949.5</v>
      </c>
      <c r="C34">
        <v>467.78</v>
      </c>
      <c r="D34">
        <v>3.11</v>
      </c>
      <c r="E34">
        <v>180.11</v>
      </c>
      <c r="F34">
        <v>430.52</v>
      </c>
      <c r="G34">
        <v>198.31</v>
      </c>
      <c r="H34">
        <v>469.71</v>
      </c>
      <c r="I34">
        <v>820.56</v>
      </c>
      <c r="J34">
        <v>5307.01</v>
      </c>
      <c r="L34">
        <v>635</v>
      </c>
      <c r="M34">
        <v>200</v>
      </c>
      <c r="N34">
        <v>40000</v>
      </c>
      <c r="O34">
        <v>1100</v>
      </c>
      <c r="P34">
        <v>90</v>
      </c>
      <c r="S34">
        <v>820.56</v>
      </c>
      <c r="T34">
        <v>198.18947118992139</v>
      </c>
      <c r="U34">
        <f t="shared" si="9"/>
        <v>0.30467414524817782</v>
      </c>
      <c r="V34">
        <f t="shared" si="38"/>
        <v>602932.5</v>
      </c>
      <c r="W34">
        <f t="shared" si="39"/>
        <v>93556</v>
      </c>
      <c r="X34">
        <f t="shared" si="40"/>
        <v>124400</v>
      </c>
      <c r="Y34">
        <f t="shared" si="41"/>
        <v>198121.00000000003</v>
      </c>
      <c r="Z34">
        <f t="shared" si="42"/>
        <v>38746.799999999996</v>
      </c>
      <c r="AA34">
        <f t="shared" si="43"/>
        <v>0</v>
      </c>
      <c r="AB34">
        <f t="shared" si="44"/>
        <v>0</v>
      </c>
      <c r="AC34">
        <v>820.56</v>
      </c>
      <c r="AD34" s="1">
        <f t="shared" si="18"/>
        <v>45434</v>
      </c>
      <c r="AE34">
        <f t="shared" si="45"/>
        <v>322521</v>
      </c>
      <c r="AF34">
        <f t="shared" si="46"/>
        <v>1058576.8600000001</v>
      </c>
      <c r="AG34">
        <f t="shared" si="47"/>
        <v>1053689.5270466227</v>
      </c>
      <c r="AH34">
        <f t="shared" si="48"/>
        <v>1051793.5054996249</v>
      </c>
      <c r="AI34">
        <f t="shared" si="32"/>
        <v>-7.2000246259927353E-3</v>
      </c>
      <c r="AJ34">
        <f t="shared" si="33"/>
        <v>-4.0872265552388204E-3</v>
      </c>
      <c r="AK34">
        <f t="shared" si="34"/>
        <v>-2.7060497123881804E-3</v>
      </c>
      <c r="AL34">
        <f t="shared" si="35"/>
        <v>1.049835455110657</v>
      </c>
      <c r="AM34">
        <f t="shared" si="36"/>
        <v>1.0547049117045437</v>
      </c>
      <c r="AN34">
        <f t="shared" si="37"/>
        <v>1.0479463686268315</v>
      </c>
    </row>
    <row r="35" spans="1:41" x14ac:dyDescent="0.25">
      <c r="A35" s="1">
        <v>45435</v>
      </c>
      <c r="B35">
        <v>1037.99</v>
      </c>
      <c r="C35">
        <v>465.78</v>
      </c>
      <c r="D35">
        <v>3</v>
      </c>
      <c r="E35">
        <v>173.74</v>
      </c>
      <c r="F35">
        <v>427</v>
      </c>
      <c r="G35">
        <v>196.92</v>
      </c>
      <c r="H35">
        <v>467.08</v>
      </c>
      <c r="I35">
        <v>827.2</v>
      </c>
      <c r="J35">
        <v>5267.84</v>
      </c>
      <c r="L35">
        <v>635</v>
      </c>
      <c r="M35">
        <v>200</v>
      </c>
      <c r="N35">
        <v>40000</v>
      </c>
      <c r="O35">
        <v>900</v>
      </c>
      <c r="P35">
        <v>90</v>
      </c>
      <c r="S35">
        <v>827.2</v>
      </c>
      <c r="T35">
        <v>198.18947118992139</v>
      </c>
      <c r="U35">
        <v>0.27</v>
      </c>
      <c r="V35">
        <f t="shared" si="38"/>
        <v>659123.65</v>
      </c>
      <c r="W35">
        <f t="shared" si="39"/>
        <v>93156</v>
      </c>
      <c r="X35">
        <f t="shared" si="40"/>
        <v>120000</v>
      </c>
      <c r="Y35">
        <f t="shared" si="41"/>
        <v>156366</v>
      </c>
      <c r="Z35">
        <f t="shared" si="42"/>
        <v>38430</v>
      </c>
      <c r="AA35">
        <f t="shared" si="43"/>
        <v>0</v>
      </c>
      <c r="AB35">
        <f t="shared" si="44"/>
        <v>0</v>
      </c>
      <c r="AC35">
        <v>827.2</v>
      </c>
      <c r="AD35" s="1">
        <f t="shared" si="18"/>
        <v>45435</v>
      </c>
      <c r="AE35">
        <f t="shared" si="45"/>
        <v>276366</v>
      </c>
      <c r="AF35">
        <f t="shared" si="46"/>
        <v>1067902.8499999999</v>
      </c>
      <c r="AG35">
        <f>$AG$20/$AE$20*AE35*1100/900</f>
        <v>1103543.4929988834</v>
      </c>
      <c r="AH35">
        <f t="shared" si="48"/>
        <v>1044030.4239131155</v>
      </c>
      <c r="AI35">
        <f t="shared" ref="AI35:AI36" si="49">(AE35-AE34)/AE34</f>
        <v>-0.1431069604769922</v>
      </c>
      <c r="AJ35">
        <f t="shared" ref="AJ35:AJ36" si="50">(AF35-AF34)/AF34</f>
        <v>8.8099318551132476E-3</v>
      </c>
      <c r="AK35">
        <f t="shared" ref="AK35:AK36" si="51">(AH35-AH34)/AH34</f>
        <v>-7.3808038801511022E-3</v>
      </c>
      <c r="AL35">
        <f t="shared" ref="AL35:AL36" si="52">AL34*(1+AI35)</f>
        <v>0.89959669412879106</v>
      </c>
      <c r="AM35">
        <f t="shared" ref="AM35:AM36" si="53">AM34*(1+AJ35)</f>
        <v>1.0639967901039138</v>
      </c>
      <c r="AN35">
        <f t="shared" ref="AN35:AN36" si="54">AN34*(1+AK35)</f>
        <v>1.0402116820030805</v>
      </c>
    </row>
    <row r="36" spans="1:41" x14ac:dyDescent="0.25">
      <c r="A36" s="1">
        <v>45436</v>
      </c>
      <c r="B36">
        <v>1064.69</v>
      </c>
      <c r="C36">
        <v>478.22</v>
      </c>
      <c r="D36">
        <v>3.09</v>
      </c>
      <c r="E36">
        <v>179.24</v>
      </c>
      <c r="F36">
        <v>430.16</v>
      </c>
      <c r="G36">
        <v>200.71</v>
      </c>
      <c r="H36">
        <v>467.35</v>
      </c>
      <c r="I36">
        <v>827.2</v>
      </c>
      <c r="J36">
        <v>5304.72</v>
      </c>
      <c r="L36">
        <v>670</v>
      </c>
      <c r="M36">
        <v>200</v>
      </c>
      <c r="N36">
        <v>40000</v>
      </c>
      <c r="O36">
        <v>900</v>
      </c>
      <c r="P36">
        <v>90</v>
      </c>
      <c r="S36">
        <v>827.2</v>
      </c>
      <c r="T36">
        <v>198.18947118992139</v>
      </c>
      <c r="U36">
        <f t="shared" si="9"/>
        <v>0.25137194703681409</v>
      </c>
      <c r="V36">
        <f t="shared" si="38"/>
        <v>713342.3</v>
      </c>
      <c r="W36">
        <f t="shared" si="39"/>
        <v>95644</v>
      </c>
      <c r="X36">
        <f t="shared" si="40"/>
        <v>123600</v>
      </c>
      <c r="Y36">
        <f t="shared" si="41"/>
        <v>161316</v>
      </c>
      <c r="Z36">
        <f t="shared" si="42"/>
        <v>38714.400000000001</v>
      </c>
      <c r="AA36">
        <f t="shared" si="43"/>
        <v>0</v>
      </c>
      <c r="AB36">
        <f t="shared" si="44"/>
        <v>0</v>
      </c>
      <c r="AC36">
        <v>827.2</v>
      </c>
      <c r="AD36" s="1">
        <f t="shared" si="18"/>
        <v>45436</v>
      </c>
      <c r="AE36">
        <f t="shared" si="45"/>
        <v>284916</v>
      </c>
      <c r="AF36">
        <f t="shared" si="46"/>
        <v>1133443.8999999999</v>
      </c>
      <c r="AG36">
        <f>$AG$20/$AE$20*AE36*1100/900</f>
        <v>1137684.0778216927</v>
      </c>
      <c r="AH36">
        <f t="shared" si="48"/>
        <v>1051339.6516105998</v>
      </c>
      <c r="AI36">
        <f t="shared" si="49"/>
        <v>3.0937235405223508E-2</v>
      </c>
      <c r="AJ36">
        <f t="shared" si="50"/>
        <v>6.1373607159115696E-2</v>
      </c>
      <c r="AK36">
        <f t="shared" si="51"/>
        <v>7.0009719353663086E-3</v>
      </c>
      <c r="AL36">
        <f t="shared" si="52"/>
        <v>0.92742772882481439</v>
      </c>
      <c r="AM36">
        <f t="shared" si="53"/>
        <v>1.1292981111183116</v>
      </c>
      <c r="AN36">
        <f t="shared" si="54"/>
        <v>1.0474941747956241</v>
      </c>
    </row>
    <row r="37" spans="1:41" x14ac:dyDescent="0.25">
      <c r="A37" s="1">
        <v>45440</v>
      </c>
      <c r="B37">
        <v>1139.01</v>
      </c>
      <c r="C37">
        <v>479.92</v>
      </c>
      <c r="D37">
        <v>3.13</v>
      </c>
      <c r="E37">
        <v>176.75</v>
      </c>
      <c r="F37">
        <v>430.32</v>
      </c>
      <c r="G37">
        <v>199.5</v>
      </c>
      <c r="H37">
        <v>458.48</v>
      </c>
      <c r="I37">
        <v>827.2</v>
      </c>
      <c r="J37">
        <v>5306.04</v>
      </c>
      <c r="L37">
        <v>670</v>
      </c>
      <c r="M37">
        <v>200</v>
      </c>
      <c r="N37">
        <v>40000</v>
      </c>
      <c r="O37">
        <v>900</v>
      </c>
      <c r="P37">
        <v>90</v>
      </c>
      <c r="S37">
        <v>827.2</v>
      </c>
      <c r="T37">
        <v>198.18947118992139</v>
      </c>
      <c r="U37">
        <f t="shared" si="9"/>
        <v>0.2403096928558513</v>
      </c>
      <c r="V37">
        <f t="shared" si="38"/>
        <v>763136.7</v>
      </c>
      <c r="W37">
        <f t="shared" si="39"/>
        <v>95984</v>
      </c>
      <c r="X37">
        <f t="shared" ref="X37:X39" si="55">D37*N37</f>
        <v>125200</v>
      </c>
      <c r="Y37">
        <f t="shared" ref="Y37:Y39" si="56">E37*O37</f>
        <v>159075</v>
      </c>
      <c r="Z37">
        <f t="shared" ref="Z37:Z39" si="57">F37*P37</f>
        <v>38728.800000000003</v>
      </c>
      <c r="AA37">
        <f t="shared" ref="AA37:AA39" si="58">G37*Q37</f>
        <v>0</v>
      </c>
      <c r="AB37">
        <f t="shared" ref="AB37:AB39" si="59">H37*R37</f>
        <v>0</v>
      </c>
      <c r="AC37">
        <v>828.2</v>
      </c>
      <c r="AD37" s="1">
        <v>45440</v>
      </c>
      <c r="AE37">
        <f t="shared" ref="AE37:AE39" si="60">Y37+X37</f>
        <v>284275</v>
      </c>
      <c r="AF37">
        <f t="shared" ref="AF37:AF39" si="61">SUM(V37:AC37)</f>
        <v>1182952.7</v>
      </c>
      <c r="AG37">
        <f t="shared" ref="AG37:AG39" si="62">$AG$20/$AE$20*AE37*1100/900</f>
        <v>1135124.5322226959</v>
      </c>
      <c r="AH37">
        <f t="shared" ref="AH37:AH39" si="63">T37*J37</f>
        <v>1051601.2617125704</v>
      </c>
      <c r="AI37">
        <f t="shared" ref="AI37:AI39" si="64">(AE37-AE36)/AE36</f>
        <v>-2.2497859018096563E-3</v>
      </c>
      <c r="AJ37">
        <f t="shared" ref="AJ37:AJ39" si="65">(AF37-AF36)/AF36</f>
        <v>4.3679973927249552E-2</v>
      </c>
      <c r="AK37">
        <f t="shared" ref="AK37:AK39" si="66">(AH37-AH36)/AH36</f>
        <v>2.4883499977370542E-4</v>
      </c>
      <c r="AL37">
        <f t="shared" ref="AL37:AL39" si="67">AL36*(1+AI37)</f>
        <v>0.92534121499555699</v>
      </c>
      <c r="AM37">
        <f t="shared" ref="AM37:AM39" si="68">AM36*(1+AJ37)</f>
        <v>1.1786258231680515</v>
      </c>
      <c r="AN37">
        <f t="shared" ref="AN37:AN39" si="69">AN36*(1+AK37)</f>
        <v>1.0477548280083724</v>
      </c>
    </row>
    <row r="38" spans="1:41" x14ac:dyDescent="0.25">
      <c r="A38" s="1">
        <v>45441</v>
      </c>
      <c r="B38">
        <v>1148.25</v>
      </c>
      <c r="C38">
        <v>474.36</v>
      </c>
      <c r="D38">
        <v>3.03</v>
      </c>
      <c r="E38">
        <v>176.19</v>
      </c>
      <c r="F38">
        <v>429.17</v>
      </c>
      <c r="G38">
        <v>198.11</v>
      </c>
      <c r="H38">
        <v>452.72</v>
      </c>
      <c r="I38">
        <v>827.2</v>
      </c>
      <c r="J38">
        <v>5266.95</v>
      </c>
      <c r="L38">
        <v>670</v>
      </c>
      <c r="M38">
        <v>200</v>
      </c>
      <c r="N38">
        <v>40000</v>
      </c>
      <c r="O38">
        <v>900</v>
      </c>
      <c r="P38">
        <v>90</v>
      </c>
      <c r="S38">
        <v>827.2</v>
      </c>
      <c r="T38">
        <v>198.18947118992139</v>
      </c>
      <c r="U38">
        <f t="shared" si="9"/>
        <v>0.23640788389631789</v>
      </c>
      <c r="V38">
        <f t="shared" si="38"/>
        <v>769327.5</v>
      </c>
      <c r="W38">
        <f t="shared" si="39"/>
        <v>94872</v>
      </c>
      <c r="X38">
        <f t="shared" si="55"/>
        <v>121199.99999999999</v>
      </c>
      <c r="Y38">
        <f t="shared" si="56"/>
        <v>158571</v>
      </c>
      <c r="Z38">
        <f t="shared" si="57"/>
        <v>38625.300000000003</v>
      </c>
      <c r="AA38">
        <f t="shared" si="58"/>
        <v>0</v>
      </c>
      <c r="AB38">
        <f t="shared" si="59"/>
        <v>0</v>
      </c>
      <c r="AC38">
        <v>829.2</v>
      </c>
      <c r="AD38" s="1">
        <v>45441</v>
      </c>
      <c r="AE38">
        <f t="shared" si="60"/>
        <v>279771</v>
      </c>
      <c r="AF38">
        <f t="shared" si="61"/>
        <v>1183425</v>
      </c>
      <c r="AG38">
        <f t="shared" si="62"/>
        <v>1117139.8311651601</v>
      </c>
      <c r="AH38">
        <f t="shared" si="63"/>
        <v>1043854.0352837564</v>
      </c>
      <c r="AI38">
        <f t="shared" si="64"/>
        <v>-1.584381320904054E-2</v>
      </c>
      <c r="AJ38">
        <f t="shared" si="65"/>
        <v>3.9925518577373938E-4</v>
      </c>
      <c r="AK38">
        <f t="shared" si="66"/>
        <v>-7.3670760114887676E-3</v>
      </c>
      <c r="AL38">
        <f t="shared" si="67"/>
        <v>0.91068028163054082</v>
      </c>
      <c r="AM38">
        <f t="shared" si="68"/>
        <v>1.1790963956400382</v>
      </c>
      <c r="AN38">
        <f t="shared" si="69"/>
        <v>1.0400359385490303</v>
      </c>
    </row>
    <row r="39" spans="1:41" x14ac:dyDescent="0.25">
      <c r="A39" s="1">
        <v>45442</v>
      </c>
      <c r="B39">
        <v>1105</v>
      </c>
      <c r="C39">
        <v>467.05</v>
      </c>
      <c r="D39">
        <v>3.15</v>
      </c>
      <c r="E39">
        <v>178.79</v>
      </c>
      <c r="F39">
        <v>414.67</v>
      </c>
      <c r="G39">
        <v>199.33</v>
      </c>
      <c r="H39">
        <v>460.94</v>
      </c>
      <c r="I39">
        <v>827.2</v>
      </c>
      <c r="J39">
        <v>5235.4799999999996</v>
      </c>
      <c r="L39">
        <v>670</v>
      </c>
      <c r="M39">
        <v>200</v>
      </c>
      <c r="N39">
        <v>40000</v>
      </c>
      <c r="O39">
        <v>900</v>
      </c>
      <c r="P39">
        <v>90</v>
      </c>
      <c r="S39">
        <v>827.2</v>
      </c>
      <c r="T39">
        <v>198.18947118992139</v>
      </c>
      <c r="U39">
        <f t="shared" si="9"/>
        <v>0.24758860618309206</v>
      </c>
      <c r="V39">
        <f t="shared" si="38"/>
        <v>740350</v>
      </c>
      <c r="W39">
        <f t="shared" si="39"/>
        <v>93410</v>
      </c>
      <c r="X39">
        <f t="shared" si="55"/>
        <v>126000</v>
      </c>
      <c r="Y39">
        <f t="shared" si="56"/>
        <v>160911</v>
      </c>
      <c r="Z39">
        <f t="shared" si="57"/>
        <v>37320.300000000003</v>
      </c>
      <c r="AA39">
        <f t="shared" si="58"/>
        <v>0</v>
      </c>
      <c r="AB39">
        <f t="shared" si="59"/>
        <v>0</v>
      </c>
      <c r="AC39">
        <v>830.2</v>
      </c>
      <c r="AD39" s="1">
        <v>45442</v>
      </c>
      <c r="AE39">
        <f t="shared" si="60"/>
        <v>286911</v>
      </c>
      <c r="AF39">
        <f t="shared" si="61"/>
        <v>1158821.5</v>
      </c>
      <c r="AG39">
        <f t="shared" si="62"/>
        <v>1145650.214280348</v>
      </c>
      <c r="AH39">
        <f t="shared" si="63"/>
        <v>1037617.0126254095</v>
      </c>
      <c r="AI39">
        <f t="shared" si="64"/>
        <v>2.5520872427807029E-2</v>
      </c>
      <c r="AJ39">
        <f t="shared" si="65"/>
        <v>-2.0790079641717894E-2</v>
      </c>
      <c r="AK39">
        <f t="shared" si="66"/>
        <v>-5.974995016090996E-3</v>
      </c>
      <c r="AL39">
        <f t="shared" si="67"/>
        <v>0.9339216369205533</v>
      </c>
      <c r="AM39">
        <f t="shared" si="68"/>
        <v>1.1545828876694193</v>
      </c>
      <c r="AN39">
        <f t="shared" si="69"/>
        <v>1.0338217289996443</v>
      </c>
    </row>
    <row r="40" spans="1:41" x14ac:dyDescent="0.25">
      <c r="L40" t="s">
        <v>38</v>
      </c>
      <c r="T40" t="s">
        <v>27</v>
      </c>
      <c r="AD40" s="1"/>
      <c r="AN40" t="s">
        <v>28</v>
      </c>
    </row>
    <row r="41" spans="1:41" x14ac:dyDescent="0.25">
      <c r="B41" t="s">
        <v>0</v>
      </c>
      <c r="C41" t="s">
        <v>1</v>
      </c>
      <c r="D41" t="s">
        <v>2</v>
      </c>
      <c r="E41" t="s">
        <v>3</v>
      </c>
      <c r="F41" t="s">
        <v>4</v>
      </c>
      <c r="G41" t="s">
        <v>5</v>
      </c>
      <c r="H41" t="s">
        <v>6</v>
      </c>
      <c r="I41" t="s">
        <v>26</v>
      </c>
      <c r="J41" t="s">
        <v>29</v>
      </c>
      <c r="L41" t="s">
        <v>2</v>
      </c>
      <c r="M41" t="s">
        <v>3</v>
      </c>
      <c r="O41" t="s">
        <v>2</v>
      </c>
      <c r="P41" t="s">
        <v>3</v>
      </c>
      <c r="Q41" t="s">
        <v>47</v>
      </c>
      <c r="R41" t="s">
        <v>48</v>
      </c>
      <c r="T41" t="s">
        <v>0</v>
      </c>
      <c r="U41" t="s">
        <v>1</v>
      </c>
      <c r="V41" t="s">
        <v>2</v>
      </c>
      <c r="W41" t="s">
        <v>3</v>
      </c>
      <c r="X41" t="s">
        <v>4</v>
      </c>
      <c r="Y41" t="s">
        <v>5</v>
      </c>
      <c r="Z41" t="s">
        <v>6</v>
      </c>
      <c r="AA41" t="s">
        <v>26</v>
      </c>
      <c r="AC41" t="s">
        <v>0</v>
      </c>
      <c r="AD41" t="s">
        <v>1</v>
      </c>
      <c r="AE41" t="s">
        <v>2</v>
      </c>
      <c r="AF41" t="s">
        <v>3</v>
      </c>
      <c r="AG41" t="s">
        <v>4</v>
      </c>
      <c r="AH41" t="s">
        <v>5</v>
      </c>
      <c r="AI41" t="s">
        <v>6</v>
      </c>
      <c r="AJ41" t="s">
        <v>26</v>
      </c>
      <c r="AK41" t="s">
        <v>47</v>
      </c>
      <c r="AL41" t="s">
        <v>48</v>
      </c>
      <c r="AN41" t="s">
        <v>47</v>
      </c>
      <c r="AO41" t="s">
        <v>48</v>
      </c>
    </row>
    <row r="42" spans="1:41" x14ac:dyDescent="0.25">
      <c r="A42" s="1">
        <v>45414</v>
      </c>
      <c r="B42">
        <f>B20/B$20</f>
        <v>1</v>
      </c>
      <c r="C42">
        <f t="shared" ref="C42:J42" si="70">C20/C$20</f>
        <v>1</v>
      </c>
      <c r="D42">
        <f t="shared" si="70"/>
        <v>1</v>
      </c>
      <c r="E42">
        <f t="shared" si="70"/>
        <v>1</v>
      </c>
      <c r="F42">
        <f t="shared" si="70"/>
        <v>1</v>
      </c>
      <c r="G42">
        <f t="shared" si="70"/>
        <v>1</v>
      </c>
      <c r="H42">
        <f t="shared" si="70"/>
        <v>1</v>
      </c>
      <c r="I42">
        <f t="shared" si="70"/>
        <v>1</v>
      </c>
      <c r="J42">
        <f t="shared" si="70"/>
        <v>1</v>
      </c>
      <c r="L42">
        <v>40000</v>
      </c>
      <c r="M42">
        <v>1100</v>
      </c>
      <c r="O42">
        <f>L42*D20</f>
        <v>109200</v>
      </c>
      <c r="P42">
        <f>M42*E20</f>
        <v>198011</v>
      </c>
      <c r="Q42">
        <f>O42+P42</f>
        <v>307211</v>
      </c>
      <c r="R42">
        <f>Q42/$Q$42</f>
        <v>1</v>
      </c>
      <c r="U42">
        <v>200</v>
      </c>
      <c r="V42">
        <v>40000</v>
      </c>
      <c r="W42">
        <v>1100</v>
      </c>
      <c r="X42">
        <v>90</v>
      </c>
      <c r="Y42">
        <v>1000</v>
      </c>
      <c r="Z42">
        <v>126</v>
      </c>
      <c r="AA42">
        <v>322295.32</v>
      </c>
      <c r="AC42">
        <f>T42*B20</f>
        <v>0</v>
      </c>
      <c r="AD42">
        <f t="shared" ref="AD42:AI42" si="71">U42*C20</f>
        <v>88336</v>
      </c>
      <c r="AE42">
        <f t="shared" si="71"/>
        <v>109200</v>
      </c>
      <c r="AF42">
        <f t="shared" si="71"/>
        <v>198011</v>
      </c>
      <c r="AG42">
        <f t="shared" si="71"/>
        <v>35805.599999999999</v>
      </c>
      <c r="AH42">
        <f t="shared" si="71"/>
        <v>191660</v>
      </c>
      <c r="AI42">
        <f t="shared" si="71"/>
        <v>58363.199999999997</v>
      </c>
      <c r="AJ42">
        <v>322295.32</v>
      </c>
      <c r="AK42">
        <f>SUM(AC42:AJ42)</f>
        <v>1003671.1199999999</v>
      </c>
      <c r="AL42">
        <f>AK42/$AK$42</f>
        <v>1</v>
      </c>
      <c r="AN42">
        <f>J20</f>
        <v>5064.2</v>
      </c>
      <c r="AO42">
        <f>AN42/$AN$42</f>
        <v>1</v>
      </c>
    </row>
    <row r="43" spans="1:41" x14ac:dyDescent="0.25">
      <c r="A43" s="1">
        <v>45415</v>
      </c>
      <c r="B43">
        <f t="shared" ref="B43:J43" si="72">B21/B$20</f>
        <v>1.0346318328536304</v>
      </c>
      <c r="C43">
        <f t="shared" si="72"/>
        <v>1.0232747690635753</v>
      </c>
      <c r="D43">
        <f t="shared" si="72"/>
        <v>1.0293040293040294</v>
      </c>
      <c r="E43">
        <f t="shared" si="72"/>
        <v>1.0065551913782569</v>
      </c>
      <c r="F43">
        <f t="shared" si="72"/>
        <v>1.0221697164689323</v>
      </c>
      <c r="G43">
        <f t="shared" si="72"/>
        <v>0.9939997912970886</v>
      </c>
      <c r="H43">
        <f t="shared" si="72"/>
        <v>0.99721502590673583</v>
      </c>
      <c r="I43">
        <f t="shared" si="72"/>
        <v>1</v>
      </c>
      <c r="J43">
        <f t="shared" si="72"/>
        <v>1.0125567710595949</v>
      </c>
      <c r="L43">
        <v>40000</v>
      </c>
      <c r="M43">
        <v>1100</v>
      </c>
      <c r="O43">
        <f t="shared" ref="O43:P43" si="73">L43*D21</f>
        <v>112400</v>
      </c>
      <c r="P43">
        <f t="shared" si="73"/>
        <v>199309</v>
      </c>
      <c r="Q43">
        <f t="shared" ref="Q43:Q61" si="74">O43+P43</f>
        <v>311709</v>
      </c>
      <c r="R43">
        <f t="shared" ref="R43:R61" si="75">Q43/$Q$42</f>
        <v>1.0146414028143524</v>
      </c>
      <c r="U43">
        <v>200</v>
      </c>
      <c r="V43">
        <v>40000</v>
      </c>
      <c r="W43">
        <v>1100</v>
      </c>
      <c r="X43">
        <v>90</v>
      </c>
      <c r="Y43">
        <v>1000</v>
      </c>
      <c r="Z43">
        <v>126</v>
      </c>
      <c r="AA43">
        <v>322295.32</v>
      </c>
      <c r="AC43">
        <f t="shared" ref="AC43:AC60" si="76">T43*B21</f>
        <v>0</v>
      </c>
      <c r="AD43">
        <f t="shared" ref="AD43:AD61" si="77">U43*C21</f>
        <v>90392</v>
      </c>
      <c r="AE43">
        <f t="shared" ref="AE43:AE61" si="78">V43*D21</f>
        <v>112400</v>
      </c>
      <c r="AF43">
        <f t="shared" ref="AF43:AF61" si="79">W43*E21</f>
        <v>199309</v>
      </c>
      <c r="AG43">
        <f t="shared" ref="AG43:AG61" si="80">X43*F21</f>
        <v>36599.4</v>
      </c>
      <c r="AH43">
        <f t="shared" ref="AH43:AH61" si="81">Y43*G21</f>
        <v>190510</v>
      </c>
      <c r="AI43">
        <f t="shared" ref="AI43:AI61" si="82">Z43*H21</f>
        <v>58200.66</v>
      </c>
      <c r="AJ43">
        <v>322295.32</v>
      </c>
      <c r="AK43">
        <f t="shared" ref="AK43:AK61" si="83">SUM(AC43:AJ43)</f>
        <v>1009706.3800000001</v>
      </c>
      <c r="AL43">
        <f t="shared" ref="AL43:AL61" si="84">AK43/$AK$42</f>
        <v>1.0060131848767355</v>
      </c>
      <c r="AN43">
        <f t="shared" ref="AN43:AN61" si="85">J21</f>
        <v>5127.79</v>
      </c>
      <c r="AO43">
        <f t="shared" ref="AO43:AO61" si="86">AN43/$AN$42</f>
        <v>1.0125567710595949</v>
      </c>
    </row>
    <row r="44" spans="1:41" x14ac:dyDescent="0.25">
      <c r="A44" s="1">
        <v>45418</v>
      </c>
      <c r="B44">
        <f t="shared" ref="B44:J44" si="87">B22/B$20</f>
        <v>1.0736800400852977</v>
      </c>
      <c r="C44">
        <f t="shared" si="87"/>
        <v>1.0543379822495924</v>
      </c>
      <c r="D44">
        <f t="shared" si="87"/>
        <v>1.0366300366300367</v>
      </c>
      <c r="E44">
        <f t="shared" si="87"/>
        <v>1.0263874229209489</v>
      </c>
      <c r="F44">
        <f t="shared" si="87"/>
        <v>1.0394631007440178</v>
      </c>
      <c r="G44">
        <f t="shared" si="87"/>
        <v>1.0017739747469478</v>
      </c>
      <c r="H44">
        <f t="shared" si="87"/>
        <v>0.99909326424870459</v>
      </c>
      <c r="I44">
        <f t="shared" si="87"/>
        <v>1</v>
      </c>
      <c r="J44">
        <f t="shared" si="87"/>
        <v>1.0230125192527941</v>
      </c>
      <c r="L44">
        <v>40000</v>
      </c>
      <c r="M44">
        <v>1100</v>
      </c>
      <c r="O44">
        <f t="shared" ref="O44:P44" si="88">L44*D22</f>
        <v>113200</v>
      </c>
      <c r="P44">
        <f t="shared" si="88"/>
        <v>203236</v>
      </c>
      <c r="Q44">
        <f t="shared" si="74"/>
        <v>316436</v>
      </c>
      <c r="R44">
        <f t="shared" si="75"/>
        <v>1.0300282216457093</v>
      </c>
      <c r="U44">
        <v>200</v>
      </c>
      <c r="V44">
        <v>40000</v>
      </c>
      <c r="W44">
        <v>1100</v>
      </c>
      <c r="X44">
        <v>90</v>
      </c>
      <c r="Y44">
        <v>1000</v>
      </c>
      <c r="Z44">
        <v>126</v>
      </c>
      <c r="AA44">
        <v>322295.32</v>
      </c>
      <c r="AC44">
        <f t="shared" si="76"/>
        <v>0</v>
      </c>
      <c r="AD44">
        <f t="shared" si="77"/>
        <v>93136</v>
      </c>
      <c r="AE44">
        <f t="shared" si="78"/>
        <v>113200</v>
      </c>
      <c r="AF44">
        <f t="shared" si="79"/>
        <v>203236</v>
      </c>
      <c r="AG44">
        <f t="shared" si="80"/>
        <v>37218.6</v>
      </c>
      <c r="AH44">
        <f t="shared" si="81"/>
        <v>192000</v>
      </c>
      <c r="AI44">
        <f t="shared" si="82"/>
        <v>58310.28</v>
      </c>
      <c r="AJ44">
        <v>322295.32</v>
      </c>
      <c r="AK44">
        <f t="shared" si="83"/>
        <v>1019396.2</v>
      </c>
      <c r="AL44">
        <f t="shared" si="84"/>
        <v>1.0156675624979625</v>
      </c>
      <c r="AN44">
        <f t="shared" si="85"/>
        <v>5180.74</v>
      </c>
      <c r="AO44">
        <f t="shared" si="86"/>
        <v>1.0230125192527941</v>
      </c>
    </row>
    <row r="45" spans="1:41" x14ac:dyDescent="0.25">
      <c r="A45" s="1">
        <v>45419</v>
      </c>
      <c r="B45">
        <f t="shared" ref="B45:J45" si="89">B23/B$20</f>
        <v>1.0551988533740402</v>
      </c>
      <c r="C45">
        <f t="shared" si="89"/>
        <v>1.0601340336895491</v>
      </c>
      <c r="D45">
        <f t="shared" si="89"/>
        <v>1.0402930402930401</v>
      </c>
      <c r="E45">
        <f t="shared" si="89"/>
        <v>0.98777845675240272</v>
      </c>
      <c r="F45">
        <f t="shared" si="89"/>
        <v>1.0289060929016691</v>
      </c>
      <c r="G45">
        <f t="shared" si="89"/>
        <v>1.0004695815506626</v>
      </c>
      <c r="H45">
        <f t="shared" si="89"/>
        <v>1.0075129533678757</v>
      </c>
      <c r="I45">
        <f t="shared" si="89"/>
        <v>1</v>
      </c>
      <c r="J45">
        <f t="shared" si="89"/>
        <v>1.0243868725563761</v>
      </c>
      <c r="L45">
        <v>40000</v>
      </c>
      <c r="M45">
        <v>1100</v>
      </c>
      <c r="O45">
        <f t="shared" ref="O45:P45" si="90">L45*D23</f>
        <v>113600</v>
      </c>
      <c r="P45">
        <f t="shared" si="90"/>
        <v>195591</v>
      </c>
      <c r="Q45">
        <f t="shared" si="74"/>
        <v>309191</v>
      </c>
      <c r="R45">
        <f t="shared" si="75"/>
        <v>1.0064450817190791</v>
      </c>
      <c r="U45">
        <v>200</v>
      </c>
      <c r="V45">
        <v>40000</v>
      </c>
      <c r="W45">
        <v>1100</v>
      </c>
      <c r="X45">
        <v>90</v>
      </c>
      <c r="Y45">
        <v>1000</v>
      </c>
      <c r="Z45">
        <v>126</v>
      </c>
      <c r="AA45">
        <v>322295.32</v>
      </c>
      <c r="AC45">
        <f t="shared" si="76"/>
        <v>0</v>
      </c>
      <c r="AD45">
        <f t="shared" si="77"/>
        <v>93648</v>
      </c>
      <c r="AE45">
        <f t="shared" si="78"/>
        <v>113600</v>
      </c>
      <c r="AF45">
        <f t="shared" si="79"/>
        <v>195591</v>
      </c>
      <c r="AG45">
        <f t="shared" si="80"/>
        <v>36840.6</v>
      </c>
      <c r="AH45">
        <f t="shared" si="81"/>
        <v>191750</v>
      </c>
      <c r="AI45">
        <f t="shared" si="82"/>
        <v>58801.68</v>
      </c>
      <c r="AJ45">
        <v>322295.32</v>
      </c>
      <c r="AK45">
        <f t="shared" si="83"/>
        <v>1012526.6000000001</v>
      </c>
      <c r="AL45">
        <f t="shared" si="84"/>
        <v>1.0088230893801151</v>
      </c>
      <c r="AN45">
        <f t="shared" si="85"/>
        <v>5187.7</v>
      </c>
      <c r="AO45">
        <f t="shared" si="86"/>
        <v>1.0243868725563761</v>
      </c>
    </row>
    <row r="46" spans="1:41" x14ac:dyDescent="0.25">
      <c r="A46" s="1">
        <v>45420</v>
      </c>
      <c r="B46">
        <f t="shared" ref="B46:J46" si="91">B24/B$20</f>
        <v>1.0535441695701317</v>
      </c>
      <c r="C46">
        <f t="shared" si="91"/>
        <v>1.070005433798225</v>
      </c>
      <c r="D46">
        <f t="shared" si="91"/>
        <v>1.054945054945055</v>
      </c>
      <c r="E46">
        <f t="shared" si="91"/>
        <v>0.97061274373645912</v>
      </c>
      <c r="F46">
        <f t="shared" si="91"/>
        <v>1.0319223808566258</v>
      </c>
      <c r="G46">
        <f t="shared" si="91"/>
        <v>1.0208181154127101</v>
      </c>
      <c r="H46">
        <f t="shared" si="91"/>
        <v>1.0063903281519864</v>
      </c>
      <c r="I46">
        <f t="shared" si="91"/>
        <v>1</v>
      </c>
      <c r="J46">
        <f t="shared" si="91"/>
        <v>1.0243809486197228</v>
      </c>
      <c r="L46">
        <v>40000</v>
      </c>
      <c r="M46">
        <v>1100</v>
      </c>
      <c r="O46">
        <f t="shared" ref="O46:P46" si="92">L46*D24</f>
        <v>115200</v>
      </c>
      <c r="P46">
        <f t="shared" si="92"/>
        <v>192192</v>
      </c>
      <c r="Q46">
        <f t="shared" si="74"/>
        <v>307392</v>
      </c>
      <c r="R46">
        <f t="shared" si="75"/>
        <v>1.0005891716116937</v>
      </c>
      <c r="U46">
        <v>200</v>
      </c>
      <c r="V46">
        <v>40000</v>
      </c>
      <c r="W46">
        <v>1100</v>
      </c>
      <c r="X46">
        <v>90</v>
      </c>
      <c r="Y46">
        <v>1000</v>
      </c>
      <c r="Z46">
        <v>126</v>
      </c>
      <c r="AA46">
        <v>322295.32</v>
      </c>
      <c r="AC46">
        <f t="shared" si="76"/>
        <v>0</v>
      </c>
      <c r="AD46">
        <f t="shared" si="77"/>
        <v>94520</v>
      </c>
      <c r="AE46">
        <f t="shared" si="78"/>
        <v>115200</v>
      </c>
      <c r="AF46">
        <f t="shared" si="79"/>
        <v>192192</v>
      </c>
      <c r="AG46">
        <f t="shared" si="80"/>
        <v>36948.6</v>
      </c>
      <c r="AH46">
        <f t="shared" si="81"/>
        <v>195650</v>
      </c>
      <c r="AI46">
        <f t="shared" si="82"/>
        <v>58736.160000000003</v>
      </c>
      <c r="AJ46">
        <v>322295.32</v>
      </c>
      <c r="AK46">
        <f t="shared" si="83"/>
        <v>1015542.0800000001</v>
      </c>
      <c r="AL46">
        <f t="shared" si="84"/>
        <v>1.0118275396825209</v>
      </c>
      <c r="AN46">
        <f t="shared" si="85"/>
        <v>5187.67</v>
      </c>
      <c r="AO46">
        <f t="shared" si="86"/>
        <v>1.0243809486197228</v>
      </c>
    </row>
    <row r="47" spans="1:41" x14ac:dyDescent="0.25">
      <c r="A47" s="1">
        <v>45421</v>
      </c>
      <c r="B47">
        <f t="shared" ref="B47:J47" si="93">B25/B$20</f>
        <v>1.0341424193341646</v>
      </c>
      <c r="C47">
        <f t="shared" si="93"/>
        <v>1.0763901467125521</v>
      </c>
      <c r="D47">
        <f t="shared" si="93"/>
        <v>1.1245421245421245</v>
      </c>
      <c r="E47">
        <f t="shared" si="93"/>
        <v>0.95533581467696238</v>
      </c>
      <c r="F47">
        <f t="shared" si="93"/>
        <v>1.0363965413231451</v>
      </c>
      <c r="G47">
        <f t="shared" si="93"/>
        <v>1.0304706250652196</v>
      </c>
      <c r="H47">
        <f t="shared" si="93"/>
        <v>1.0112046632124352</v>
      </c>
      <c r="I47">
        <f t="shared" si="93"/>
        <v>1</v>
      </c>
      <c r="J47">
        <f t="shared" si="93"/>
        <v>1.0295959875202401</v>
      </c>
      <c r="L47">
        <v>40000</v>
      </c>
      <c r="M47">
        <v>1100</v>
      </c>
      <c r="O47">
        <f t="shared" ref="O47:P47" si="94">L47*D25</f>
        <v>122800</v>
      </c>
      <c r="P47">
        <f t="shared" si="94"/>
        <v>189167</v>
      </c>
      <c r="Q47">
        <f t="shared" si="74"/>
        <v>311967</v>
      </c>
      <c r="R47">
        <f t="shared" si="75"/>
        <v>1.015481216492899</v>
      </c>
      <c r="U47">
        <v>200</v>
      </c>
      <c r="V47">
        <v>40000</v>
      </c>
      <c r="W47">
        <v>1100</v>
      </c>
      <c r="X47">
        <v>90</v>
      </c>
      <c r="Y47">
        <v>1000</v>
      </c>
      <c r="Z47">
        <v>126</v>
      </c>
      <c r="AA47">
        <v>322295.32</v>
      </c>
      <c r="AC47">
        <f t="shared" si="76"/>
        <v>0</v>
      </c>
      <c r="AD47">
        <f t="shared" si="77"/>
        <v>95084</v>
      </c>
      <c r="AE47">
        <f t="shared" si="78"/>
        <v>122800</v>
      </c>
      <c r="AF47">
        <f t="shared" si="79"/>
        <v>189167</v>
      </c>
      <c r="AG47">
        <f t="shared" si="80"/>
        <v>37108.800000000003</v>
      </c>
      <c r="AH47">
        <f t="shared" si="81"/>
        <v>197500</v>
      </c>
      <c r="AI47">
        <f t="shared" si="82"/>
        <v>59017.14</v>
      </c>
      <c r="AJ47">
        <v>322295.32</v>
      </c>
      <c r="AK47">
        <f t="shared" si="83"/>
        <v>1022972.26</v>
      </c>
      <c r="AL47">
        <f t="shared" si="84"/>
        <v>1.01923054237129</v>
      </c>
      <c r="AN47">
        <f t="shared" si="85"/>
        <v>5214.08</v>
      </c>
      <c r="AO47">
        <f t="shared" si="86"/>
        <v>1.0295959875202401</v>
      </c>
    </row>
    <row r="48" spans="1:41" x14ac:dyDescent="0.25">
      <c r="A48" s="1">
        <v>45422</v>
      </c>
      <c r="B48">
        <f t="shared" ref="B48:J48" si="95">B26/B$20</f>
        <v>1.0473216262512091</v>
      </c>
      <c r="C48">
        <f t="shared" si="95"/>
        <v>1.0781561311356638</v>
      </c>
      <c r="D48">
        <f t="shared" si="95"/>
        <v>1.0366300366300367</v>
      </c>
      <c r="E48">
        <f t="shared" si="95"/>
        <v>0.93589245041942115</v>
      </c>
      <c r="F48">
        <f t="shared" si="95"/>
        <v>1.0424793886989745</v>
      </c>
      <c r="G48">
        <f t="shared" si="95"/>
        <v>1.037096942502348</v>
      </c>
      <c r="H48">
        <f t="shared" si="95"/>
        <v>1.0122625215889465</v>
      </c>
      <c r="I48">
        <f t="shared" si="95"/>
        <v>1</v>
      </c>
      <c r="J48">
        <f t="shared" si="95"/>
        <v>1.0312941826942066</v>
      </c>
      <c r="L48">
        <v>40000</v>
      </c>
      <c r="M48">
        <v>1100</v>
      </c>
      <c r="O48">
        <f t="shared" ref="O48:P48" si="96">L48*D26</f>
        <v>113200</v>
      </c>
      <c r="P48">
        <f t="shared" si="96"/>
        <v>185317</v>
      </c>
      <c r="Q48">
        <f t="shared" si="74"/>
        <v>298517</v>
      </c>
      <c r="R48">
        <f t="shared" si="75"/>
        <v>0.97170023208804368</v>
      </c>
      <c r="U48">
        <v>200</v>
      </c>
      <c r="V48">
        <v>40000</v>
      </c>
      <c r="W48">
        <v>1100</v>
      </c>
      <c r="X48">
        <v>90</v>
      </c>
      <c r="Y48">
        <v>1000</v>
      </c>
      <c r="Z48">
        <v>126</v>
      </c>
      <c r="AA48">
        <v>322295.32</v>
      </c>
      <c r="AC48">
        <f t="shared" si="76"/>
        <v>0</v>
      </c>
      <c r="AD48">
        <f t="shared" si="77"/>
        <v>95240</v>
      </c>
      <c r="AE48">
        <f t="shared" si="78"/>
        <v>113200</v>
      </c>
      <c r="AF48">
        <f t="shared" si="79"/>
        <v>185317</v>
      </c>
      <c r="AG48">
        <f t="shared" si="80"/>
        <v>37326.6</v>
      </c>
      <c r="AH48">
        <f t="shared" si="81"/>
        <v>198770</v>
      </c>
      <c r="AI48">
        <f t="shared" si="82"/>
        <v>59078.879999999997</v>
      </c>
      <c r="AJ48">
        <v>322295.32</v>
      </c>
      <c r="AK48">
        <f t="shared" si="83"/>
        <v>1011227.8</v>
      </c>
      <c r="AL48">
        <f t="shared" si="84"/>
        <v>1.0075290399907095</v>
      </c>
      <c r="AN48">
        <f t="shared" si="85"/>
        <v>5222.68</v>
      </c>
      <c r="AO48">
        <f t="shared" si="86"/>
        <v>1.0312941826942066</v>
      </c>
    </row>
    <row r="49" spans="1:41" x14ac:dyDescent="0.25">
      <c r="A49" s="1">
        <v>45425</v>
      </c>
      <c r="B49">
        <f t="shared" ref="B49:J49" si="97">B27/B$20</f>
        <v>1.0533926844331543</v>
      </c>
      <c r="C49">
        <f t="shared" si="97"/>
        <v>1.0596132946929904</v>
      </c>
      <c r="D49">
        <f t="shared" si="97"/>
        <v>1.1025641025641024</v>
      </c>
      <c r="E49">
        <f t="shared" si="97"/>
        <v>0.9548913949225043</v>
      </c>
      <c r="F49">
        <f t="shared" si="97"/>
        <v>1.0399155439372614</v>
      </c>
      <c r="G49">
        <f t="shared" si="97"/>
        <v>1.0368882395909422</v>
      </c>
      <c r="H49">
        <f t="shared" si="97"/>
        <v>1.0158894645941279</v>
      </c>
      <c r="I49">
        <f t="shared" si="97"/>
        <v>1</v>
      </c>
      <c r="J49">
        <f t="shared" si="97"/>
        <v>1.031045377354765</v>
      </c>
      <c r="L49">
        <v>40000</v>
      </c>
      <c r="M49">
        <v>1100</v>
      </c>
      <c r="O49">
        <f t="shared" ref="O49:P49" si="98">L49*D27</f>
        <v>120399.99999999999</v>
      </c>
      <c r="P49">
        <f t="shared" si="98"/>
        <v>189078.99999999997</v>
      </c>
      <c r="Q49">
        <f t="shared" si="74"/>
        <v>309478.99999999994</v>
      </c>
      <c r="R49">
        <f t="shared" si="75"/>
        <v>1.0073825481509449</v>
      </c>
      <c r="U49">
        <v>200</v>
      </c>
      <c r="V49">
        <v>40000</v>
      </c>
      <c r="W49">
        <v>1100</v>
      </c>
      <c r="X49">
        <v>90</v>
      </c>
      <c r="Y49">
        <v>1000</v>
      </c>
      <c r="Z49">
        <v>126</v>
      </c>
      <c r="AA49">
        <v>322295.32</v>
      </c>
      <c r="AC49">
        <f t="shared" si="76"/>
        <v>0</v>
      </c>
      <c r="AD49">
        <f t="shared" si="77"/>
        <v>93602</v>
      </c>
      <c r="AE49">
        <f t="shared" si="78"/>
        <v>120399.99999999999</v>
      </c>
      <c r="AF49">
        <f t="shared" si="79"/>
        <v>189078.99999999997</v>
      </c>
      <c r="AG49">
        <f t="shared" si="80"/>
        <v>37234.800000000003</v>
      </c>
      <c r="AH49">
        <f t="shared" si="81"/>
        <v>198730</v>
      </c>
      <c r="AI49">
        <f t="shared" si="82"/>
        <v>59290.559999999998</v>
      </c>
      <c r="AJ49">
        <v>322295.32</v>
      </c>
      <c r="AK49">
        <f t="shared" si="83"/>
        <v>1020631.6800000002</v>
      </c>
      <c r="AL49">
        <f t="shared" si="84"/>
        <v>1.0168985234924368</v>
      </c>
      <c r="AN49">
        <f t="shared" si="85"/>
        <v>5221.42</v>
      </c>
      <c r="AO49">
        <f t="shared" si="86"/>
        <v>1.031045377354765</v>
      </c>
    </row>
    <row r="50" spans="1:41" x14ac:dyDescent="0.25">
      <c r="A50" s="1">
        <v>45426</v>
      </c>
      <c r="B50">
        <f t="shared" ref="B50:J50" si="99">B28/B$20</f>
        <v>1.0645443210552687</v>
      </c>
      <c r="C50">
        <f t="shared" si="99"/>
        <v>1.0683073718529252</v>
      </c>
      <c r="D50">
        <f t="shared" si="99"/>
        <v>1.1721611721611722</v>
      </c>
      <c r="E50">
        <f t="shared" si="99"/>
        <v>0.98633409255041393</v>
      </c>
      <c r="F50">
        <f t="shared" si="99"/>
        <v>1.0470540920973257</v>
      </c>
      <c r="G50">
        <f t="shared" si="99"/>
        <v>1.0513930919336325</v>
      </c>
      <c r="H50">
        <f t="shared" si="99"/>
        <v>1.0085924006908464</v>
      </c>
      <c r="I50">
        <f t="shared" si="99"/>
        <v>9.9455369069583917E-3</v>
      </c>
      <c r="J50">
        <f t="shared" si="99"/>
        <v>1.0360333320169031</v>
      </c>
      <c r="L50">
        <v>40000</v>
      </c>
      <c r="M50">
        <v>1100</v>
      </c>
      <c r="O50">
        <f t="shared" ref="O50:P50" si="100">L50*D28</f>
        <v>128000</v>
      </c>
      <c r="P50">
        <f t="shared" si="100"/>
        <v>195305</v>
      </c>
      <c r="Q50">
        <f t="shared" si="74"/>
        <v>323305</v>
      </c>
      <c r="R50">
        <f t="shared" si="75"/>
        <v>1.0523874470640699</v>
      </c>
      <c r="T50">
        <v>356</v>
      </c>
      <c r="U50">
        <v>200</v>
      </c>
      <c r="V50">
        <v>40000</v>
      </c>
      <c r="W50">
        <v>1100</v>
      </c>
      <c r="X50">
        <v>90</v>
      </c>
      <c r="Y50">
        <v>1000</v>
      </c>
      <c r="Z50">
        <v>126</v>
      </c>
      <c r="AA50">
        <v>3205.3999999999651</v>
      </c>
      <c r="AC50">
        <f t="shared" si="76"/>
        <v>325227.36</v>
      </c>
      <c r="AD50">
        <f t="shared" si="77"/>
        <v>94370</v>
      </c>
      <c r="AE50">
        <f t="shared" si="78"/>
        <v>128000</v>
      </c>
      <c r="AF50">
        <f t="shared" si="79"/>
        <v>195305</v>
      </c>
      <c r="AG50">
        <f t="shared" si="80"/>
        <v>37490.400000000001</v>
      </c>
      <c r="AH50">
        <f t="shared" si="81"/>
        <v>201510</v>
      </c>
      <c r="AI50">
        <f t="shared" si="82"/>
        <v>58864.68</v>
      </c>
      <c r="AJ50">
        <v>3205.3999999999651</v>
      </c>
      <c r="AK50">
        <f t="shared" si="83"/>
        <v>1043972.8400000001</v>
      </c>
      <c r="AL50">
        <f t="shared" si="84"/>
        <v>1.0401543087141933</v>
      </c>
      <c r="AN50">
        <f t="shared" si="85"/>
        <v>5246.68</v>
      </c>
      <c r="AO50">
        <f t="shared" si="86"/>
        <v>1.0360333320169031</v>
      </c>
    </row>
    <row r="51" spans="1:41" x14ac:dyDescent="0.25">
      <c r="A51" s="1">
        <v>45427</v>
      </c>
      <c r="B51">
        <f t="shared" ref="B51:J51" si="101">B29/B$20</f>
        <v>1.1026952701679154</v>
      </c>
      <c r="C51">
        <f t="shared" si="101"/>
        <v>1.0902463321861982</v>
      </c>
      <c r="D51">
        <f t="shared" si="101"/>
        <v>1.1465201465201464</v>
      </c>
      <c r="E51">
        <f t="shared" si="101"/>
        <v>0.96655741347702917</v>
      </c>
      <c r="F51">
        <f t="shared" si="101"/>
        <v>1.0634425899859241</v>
      </c>
      <c r="G51">
        <f t="shared" si="101"/>
        <v>1.0545236356047167</v>
      </c>
      <c r="H51">
        <f t="shared" si="101"/>
        <v>1.0018998272884283</v>
      </c>
      <c r="I51">
        <f t="shared" si="101"/>
        <v>9.9455369069583917E-3</v>
      </c>
      <c r="J51">
        <f t="shared" si="101"/>
        <v>1.0481714782196596</v>
      </c>
      <c r="L51">
        <v>40000</v>
      </c>
      <c r="M51">
        <v>1100</v>
      </c>
      <c r="O51">
        <f t="shared" ref="O51:P51" si="102">L51*D29</f>
        <v>125200</v>
      </c>
      <c r="P51">
        <f t="shared" si="102"/>
        <v>191389</v>
      </c>
      <c r="Q51">
        <f t="shared" si="74"/>
        <v>316589</v>
      </c>
      <c r="R51">
        <f t="shared" si="75"/>
        <v>1.030526250687638</v>
      </c>
      <c r="T51">
        <v>356</v>
      </c>
      <c r="U51">
        <v>200</v>
      </c>
      <c r="V51">
        <v>40000</v>
      </c>
      <c r="W51">
        <v>1100</v>
      </c>
      <c r="X51">
        <v>90</v>
      </c>
      <c r="Y51">
        <v>1000</v>
      </c>
      <c r="Z51">
        <v>126</v>
      </c>
      <c r="AA51">
        <v>3205.3999999999651</v>
      </c>
      <c r="AC51">
        <f t="shared" si="76"/>
        <v>336882.8</v>
      </c>
      <c r="AD51">
        <f t="shared" si="77"/>
        <v>96308</v>
      </c>
      <c r="AE51">
        <f t="shared" si="78"/>
        <v>125200</v>
      </c>
      <c r="AF51">
        <f t="shared" si="79"/>
        <v>191389</v>
      </c>
      <c r="AG51">
        <f t="shared" si="80"/>
        <v>38077.199999999997</v>
      </c>
      <c r="AH51">
        <f t="shared" si="81"/>
        <v>202110</v>
      </c>
      <c r="AI51">
        <f t="shared" si="82"/>
        <v>58474.079999999994</v>
      </c>
      <c r="AJ51">
        <v>3205.3999999999651</v>
      </c>
      <c r="AK51">
        <f t="shared" si="83"/>
        <v>1051646.48</v>
      </c>
      <c r="AL51">
        <f t="shared" si="84"/>
        <v>1.0477998809012259</v>
      </c>
      <c r="AN51">
        <f t="shared" si="85"/>
        <v>5308.15</v>
      </c>
      <c r="AO51">
        <f t="shared" si="86"/>
        <v>1.0481714782196596</v>
      </c>
    </row>
    <row r="52" spans="1:41" x14ac:dyDescent="0.25">
      <c r="A52" s="1">
        <v>45428</v>
      </c>
      <c r="B52">
        <f t="shared" ref="B52:J52" si="103">B30/B$20</f>
        <v>1.0995373876970764</v>
      </c>
      <c r="C52">
        <f t="shared" si="103"/>
        <v>1.0714318058322767</v>
      </c>
      <c r="D52">
        <f t="shared" si="103"/>
        <v>1.1501831501831503</v>
      </c>
      <c r="E52">
        <f t="shared" si="103"/>
        <v>0.97127937336814629</v>
      </c>
      <c r="F52">
        <f t="shared" si="103"/>
        <v>1.0581892217977078</v>
      </c>
      <c r="G52">
        <f t="shared" si="103"/>
        <v>1.0564019618073672</v>
      </c>
      <c r="H52">
        <f t="shared" si="103"/>
        <v>1.0035189982728843</v>
      </c>
      <c r="I52">
        <f t="shared" si="103"/>
        <v>0.8188877207400963</v>
      </c>
      <c r="J52">
        <f t="shared" si="103"/>
        <v>1.0459894948856681</v>
      </c>
      <c r="L52">
        <v>40000</v>
      </c>
      <c r="M52">
        <v>1100</v>
      </c>
      <c r="O52">
        <f t="shared" ref="O52:P52" si="104">L52*D30</f>
        <v>125600</v>
      </c>
      <c r="P52">
        <f t="shared" si="104"/>
        <v>192324</v>
      </c>
      <c r="Q52">
        <f t="shared" si="74"/>
        <v>317924</v>
      </c>
      <c r="R52">
        <f t="shared" si="75"/>
        <v>1.0348717982103506</v>
      </c>
      <c r="T52">
        <v>356</v>
      </c>
      <c r="U52">
        <v>200</v>
      </c>
      <c r="V52">
        <v>40000</v>
      </c>
      <c r="W52">
        <v>1100</v>
      </c>
      <c r="X52">
        <v>90</v>
      </c>
      <c r="AA52">
        <v>263923.68</v>
      </c>
      <c r="AC52">
        <f t="shared" si="76"/>
        <v>335918.04000000004</v>
      </c>
      <c r="AD52">
        <f t="shared" si="77"/>
        <v>94646</v>
      </c>
      <c r="AE52">
        <f t="shared" si="78"/>
        <v>125600</v>
      </c>
      <c r="AF52">
        <f t="shared" si="79"/>
        <v>192324</v>
      </c>
      <c r="AG52">
        <f t="shared" si="80"/>
        <v>37889.1</v>
      </c>
      <c r="AH52">
        <f t="shared" si="81"/>
        <v>0</v>
      </c>
      <c r="AI52">
        <f t="shared" si="82"/>
        <v>0</v>
      </c>
      <c r="AJ52">
        <v>263923.68</v>
      </c>
      <c r="AK52">
        <f t="shared" si="83"/>
        <v>1050300.82</v>
      </c>
      <c r="AL52">
        <f t="shared" si="84"/>
        <v>1.0464591429112757</v>
      </c>
      <c r="AN52">
        <f t="shared" si="85"/>
        <v>5297.1</v>
      </c>
      <c r="AO52">
        <f t="shared" si="86"/>
        <v>1.0459894948856681</v>
      </c>
    </row>
    <row r="53" spans="1:41" x14ac:dyDescent="0.25">
      <c r="A53" s="1">
        <v>45429</v>
      </c>
      <c r="B53">
        <f t="shared" ref="B53:J53" si="105">B31/B$20</f>
        <v>1.0776303063495578</v>
      </c>
      <c r="C53">
        <f t="shared" si="105"/>
        <v>1.0684432168085491</v>
      </c>
      <c r="D53">
        <f t="shared" si="105"/>
        <v>1.1245421245421245</v>
      </c>
      <c r="E53">
        <f t="shared" si="105"/>
        <v>0.98583412032664863</v>
      </c>
      <c r="F53">
        <f t="shared" si="105"/>
        <v>1.0562286346269858</v>
      </c>
      <c r="G53">
        <f t="shared" si="105"/>
        <v>1.0685067306688929</v>
      </c>
      <c r="H53">
        <f t="shared" si="105"/>
        <v>1.0064766839378239</v>
      </c>
      <c r="I53">
        <f t="shared" si="105"/>
        <v>2.5459879467067655E-3</v>
      </c>
      <c r="J53">
        <f t="shared" si="105"/>
        <v>1.0472078511907115</v>
      </c>
      <c r="L53">
        <v>40000</v>
      </c>
      <c r="M53">
        <v>1100</v>
      </c>
      <c r="O53">
        <f t="shared" ref="O53:P53" si="106">L53*D31</f>
        <v>122800</v>
      </c>
      <c r="P53">
        <f t="shared" si="106"/>
        <v>195206</v>
      </c>
      <c r="Q53">
        <f t="shared" si="74"/>
        <v>318006</v>
      </c>
      <c r="R53">
        <f t="shared" si="75"/>
        <v>1.0351387157360903</v>
      </c>
      <c r="T53">
        <v>635</v>
      </c>
      <c r="U53">
        <v>200</v>
      </c>
      <c r="V53">
        <v>40000</v>
      </c>
      <c r="W53">
        <v>1100</v>
      </c>
      <c r="X53">
        <v>90</v>
      </c>
      <c r="AA53">
        <v>820.56</v>
      </c>
      <c r="AC53">
        <f t="shared" si="76"/>
        <v>587241.65</v>
      </c>
      <c r="AD53">
        <f t="shared" si="77"/>
        <v>94382</v>
      </c>
      <c r="AE53">
        <f t="shared" si="78"/>
        <v>122800</v>
      </c>
      <c r="AF53">
        <f t="shared" si="79"/>
        <v>195206</v>
      </c>
      <c r="AG53">
        <f t="shared" si="80"/>
        <v>37818.9</v>
      </c>
      <c r="AH53">
        <f t="shared" si="81"/>
        <v>0</v>
      </c>
      <c r="AI53">
        <f t="shared" si="82"/>
        <v>0</v>
      </c>
      <c r="AJ53">
        <v>820.56</v>
      </c>
      <c r="AK53">
        <f t="shared" si="83"/>
        <v>1038269.1100000001</v>
      </c>
      <c r="AL53">
        <f t="shared" si="84"/>
        <v>1.034471441202772</v>
      </c>
      <c r="AN53">
        <f t="shared" si="85"/>
        <v>5303.27</v>
      </c>
      <c r="AO53">
        <f t="shared" si="86"/>
        <v>1.0472078511907115</v>
      </c>
    </row>
    <row r="54" spans="1:41" x14ac:dyDescent="0.25">
      <c r="A54" s="1">
        <v>45432</v>
      </c>
      <c r="B54">
        <f t="shared" ref="B54:J54" si="107">B32/B$20</f>
        <v>1.1044431755945792</v>
      </c>
      <c r="C54">
        <f t="shared" si="107"/>
        <v>1.0614924832457888</v>
      </c>
      <c r="D54">
        <f t="shared" si="107"/>
        <v>1.1282051282051282</v>
      </c>
      <c r="E54">
        <f t="shared" si="107"/>
        <v>0.97189045053052603</v>
      </c>
      <c r="F54">
        <f t="shared" si="107"/>
        <v>1.0691232656344258</v>
      </c>
      <c r="G54">
        <f t="shared" si="107"/>
        <v>1.0204528853177504</v>
      </c>
      <c r="H54">
        <f t="shared" si="107"/>
        <v>1.0083765112262522</v>
      </c>
      <c r="I54">
        <f t="shared" si="107"/>
        <v>2.5459879467067655E-3</v>
      </c>
      <c r="J54">
        <f t="shared" si="107"/>
        <v>1.0481675289285575</v>
      </c>
      <c r="L54">
        <v>40000</v>
      </c>
      <c r="M54">
        <v>1100</v>
      </c>
      <c r="O54">
        <f t="shared" ref="O54:P54" si="108">L54*D32</f>
        <v>123200</v>
      </c>
      <c r="P54">
        <f t="shared" si="108"/>
        <v>192445</v>
      </c>
      <c r="Q54">
        <f t="shared" si="74"/>
        <v>315645</v>
      </c>
      <c r="R54">
        <f t="shared" si="75"/>
        <v>1.0274534440498551</v>
      </c>
      <c r="T54">
        <v>635</v>
      </c>
      <c r="U54">
        <v>200</v>
      </c>
      <c r="V54">
        <v>40000</v>
      </c>
      <c r="W54">
        <v>1100</v>
      </c>
      <c r="X54">
        <v>90</v>
      </c>
      <c r="AA54">
        <v>820.56</v>
      </c>
      <c r="AC54">
        <f t="shared" si="76"/>
        <v>601853</v>
      </c>
      <c r="AD54">
        <f t="shared" si="77"/>
        <v>93768</v>
      </c>
      <c r="AE54">
        <f t="shared" si="78"/>
        <v>123200</v>
      </c>
      <c r="AF54">
        <f t="shared" si="79"/>
        <v>192445</v>
      </c>
      <c r="AG54">
        <f t="shared" si="80"/>
        <v>38280.6</v>
      </c>
      <c r="AH54">
        <f t="shared" si="81"/>
        <v>0</v>
      </c>
      <c r="AI54">
        <f t="shared" si="82"/>
        <v>0</v>
      </c>
      <c r="AJ54">
        <v>820.56</v>
      </c>
      <c r="AK54">
        <f t="shared" si="83"/>
        <v>1050367.1600000001</v>
      </c>
      <c r="AL54">
        <f t="shared" si="84"/>
        <v>1.0465252402599772</v>
      </c>
      <c r="AN54">
        <f t="shared" si="85"/>
        <v>5308.13</v>
      </c>
      <c r="AO54">
        <f t="shared" si="86"/>
        <v>1.0481675289285575</v>
      </c>
    </row>
    <row r="55" spans="1:41" x14ac:dyDescent="0.25">
      <c r="A55" s="1">
        <v>45433</v>
      </c>
      <c r="B55">
        <f t="shared" ref="B55:J55" si="109">B33/B$20</f>
        <v>1.1115047135183007</v>
      </c>
      <c r="C55">
        <f t="shared" si="109"/>
        <v>1.0519606955261727</v>
      </c>
      <c r="D55">
        <f t="shared" si="109"/>
        <v>1.0952380952380953</v>
      </c>
      <c r="E55">
        <f t="shared" si="109"/>
        <v>1.0366090772734848</v>
      </c>
      <c r="F55">
        <f t="shared" si="109"/>
        <v>1.078423486828876</v>
      </c>
      <c r="G55">
        <f t="shared" si="109"/>
        <v>1.0410101220912031</v>
      </c>
      <c r="H55">
        <f t="shared" si="109"/>
        <v>1.01103195164076</v>
      </c>
      <c r="I55">
        <f t="shared" si="109"/>
        <v>2.5459879467067655E-3</v>
      </c>
      <c r="J55">
        <f t="shared" si="109"/>
        <v>1.0507898582204493</v>
      </c>
      <c r="L55">
        <v>40000</v>
      </c>
      <c r="M55">
        <v>1100</v>
      </c>
      <c r="O55">
        <f t="shared" ref="O55:P55" si="110">L55*D33</f>
        <v>119600.00000000001</v>
      </c>
      <c r="P55">
        <f t="shared" si="110"/>
        <v>205260</v>
      </c>
      <c r="Q55">
        <f t="shared" si="74"/>
        <v>324860</v>
      </c>
      <c r="R55">
        <f t="shared" si="75"/>
        <v>1.0574491147777911</v>
      </c>
      <c r="T55">
        <v>635</v>
      </c>
      <c r="U55">
        <v>200</v>
      </c>
      <c r="V55">
        <v>40000</v>
      </c>
      <c r="W55">
        <v>1100</v>
      </c>
      <c r="X55">
        <v>90</v>
      </c>
      <c r="AA55">
        <v>820.56</v>
      </c>
      <c r="AC55">
        <f t="shared" si="76"/>
        <v>605701.1</v>
      </c>
      <c r="AD55">
        <f t="shared" si="77"/>
        <v>92926</v>
      </c>
      <c r="AE55">
        <f t="shared" si="78"/>
        <v>119600.00000000001</v>
      </c>
      <c r="AF55">
        <f t="shared" si="79"/>
        <v>205260</v>
      </c>
      <c r="AG55">
        <f t="shared" si="80"/>
        <v>38613.599999999999</v>
      </c>
      <c r="AH55">
        <f t="shared" si="81"/>
        <v>0</v>
      </c>
      <c r="AI55">
        <f t="shared" si="82"/>
        <v>0</v>
      </c>
      <c r="AJ55">
        <v>820.56</v>
      </c>
      <c r="AK55">
        <f t="shared" si="83"/>
        <v>1062921.26</v>
      </c>
      <c r="AL55">
        <f t="shared" si="84"/>
        <v>1.0590334212266665</v>
      </c>
      <c r="AN55">
        <f t="shared" si="85"/>
        <v>5321.41</v>
      </c>
      <c r="AO55">
        <f t="shared" si="86"/>
        <v>1.0507898582204493</v>
      </c>
    </row>
    <row r="56" spans="1:41" x14ac:dyDescent="0.25">
      <c r="A56" s="1">
        <v>45434</v>
      </c>
      <c r="B56">
        <f t="shared" ref="B56:J56" si="111">B34/B$20</f>
        <v>1.1064241350781314</v>
      </c>
      <c r="C56">
        <f t="shared" si="111"/>
        <v>1.0590925556964317</v>
      </c>
      <c r="D56">
        <f t="shared" si="111"/>
        <v>1.1391941391941391</v>
      </c>
      <c r="E56">
        <f t="shared" si="111"/>
        <v>1.0005555246930726</v>
      </c>
      <c r="F56">
        <f t="shared" si="111"/>
        <v>1.0821435753066559</v>
      </c>
      <c r="G56">
        <f t="shared" si="111"/>
        <v>1.0346968590211834</v>
      </c>
      <c r="H56">
        <f t="shared" si="111"/>
        <v>1.0140544041450776</v>
      </c>
      <c r="I56">
        <f t="shared" si="111"/>
        <v>2.5459879467067655E-3</v>
      </c>
      <c r="J56">
        <f t="shared" si="111"/>
        <v>1.0479463686268315</v>
      </c>
      <c r="L56">
        <v>40000</v>
      </c>
      <c r="M56">
        <v>1100</v>
      </c>
      <c r="O56">
        <f t="shared" ref="O56:P56" si="112">L56*D34</f>
        <v>124400</v>
      </c>
      <c r="P56">
        <f t="shared" si="112"/>
        <v>198121.00000000003</v>
      </c>
      <c r="Q56">
        <f t="shared" si="74"/>
        <v>322521</v>
      </c>
      <c r="R56">
        <f t="shared" si="75"/>
        <v>1.0498354551106568</v>
      </c>
      <c r="T56">
        <v>635</v>
      </c>
      <c r="U56">
        <v>200</v>
      </c>
      <c r="V56">
        <v>40000</v>
      </c>
      <c r="W56">
        <v>1100</v>
      </c>
      <c r="X56">
        <v>90</v>
      </c>
      <c r="AA56">
        <v>820.56</v>
      </c>
      <c r="AC56">
        <f t="shared" si="76"/>
        <v>602932.5</v>
      </c>
      <c r="AD56">
        <f t="shared" si="77"/>
        <v>93556</v>
      </c>
      <c r="AE56">
        <f t="shared" si="78"/>
        <v>124400</v>
      </c>
      <c r="AF56">
        <f t="shared" si="79"/>
        <v>198121.00000000003</v>
      </c>
      <c r="AG56">
        <f t="shared" si="80"/>
        <v>38746.799999999996</v>
      </c>
      <c r="AH56">
        <f t="shared" si="81"/>
        <v>0</v>
      </c>
      <c r="AI56">
        <f t="shared" si="82"/>
        <v>0</v>
      </c>
      <c r="AJ56">
        <v>820.56</v>
      </c>
      <c r="AK56">
        <f t="shared" si="83"/>
        <v>1058576.8600000001</v>
      </c>
      <c r="AL56">
        <f t="shared" si="84"/>
        <v>1.0547049117045435</v>
      </c>
      <c r="AN56">
        <f t="shared" si="85"/>
        <v>5307.01</v>
      </c>
      <c r="AO56">
        <f t="shared" si="86"/>
        <v>1.0479463686268315</v>
      </c>
    </row>
    <row r="57" spans="1:41" x14ac:dyDescent="0.25">
      <c r="A57" s="1">
        <v>45435</v>
      </c>
      <c r="B57">
        <f t="shared" ref="B57:J57" si="113">B35/B$20</f>
        <v>1.2095389025484462</v>
      </c>
      <c r="C57">
        <f t="shared" si="113"/>
        <v>1.0545643905089657</v>
      </c>
      <c r="D57">
        <f t="shared" si="113"/>
        <v>1.098901098901099</v>
      </c>
      <c r="E57">
        <f t="shared" si="113"/>
        <v>0.9651686017443476</v>
      </c>
      <c r="F57">
        <f t="shared" si="113"/>
        <v>1.0732957973054496</v>
      </c>
      <c r="G57">
        <f t="shared" si="113"/>
        <v>1.0274444328498382</v>
      </c>
      <c r="H57">
        <f t="shared" si="113"/>
        <v>1.0083765112262522</v>
      </c>
      <c r="I57">
        <f t="shared" si="113"/>
        <v>2.5665901695376774E-3</v>
      </c>
      <c r="J57">
        <f t="shared" si="113"/>
        <v>1.0402116820030805</v>
      </c>
      <c r="L57">
        <v>40000</v>
      </c>
      <c r="M57">
        <v>900</v>
      </c>
      <c r="O57">
        <f t="shared" ref="O57:P57" si="114">L57*D35</f>
        <v>120000</v>
      </c>
      <c r="P57">
        <f t="shared" si="114"/>
        <v>156366</v>
      </c>
      <c r="Q57">
        <f t="shared" si="74"/>
        <v>276366</v>
      </c>
      <c r="R57">
        <f t="shared" si="75"/>
        <v>0.89959669412879095</v>
      </c>
      <c r="T57">
        <v>635</v>
      </c>
      <c r="U57">
        <v>200</v>
      </c>
      <c r="V57">
        <v>40000</v>
      </c>
      <c r="W57">
        <v>900</v>
      </c>
      <c r="X57">
        <v>90</v>
      </c>
      <c r="AA57">
        <v>827.2</v>
      </c>
      <c r="AC57">
        <f t="shared" si="76"/>
        <v>659123.65</v>
      </c>
      <c r="AD57">
        <f t="shared" si="77"/>
        <v>93156</v>
      </c>
      <c r="AE57">
        <f t="shared" si="78"/>
        <v>120000</v>
      </c>
      <c r="AF57">
        <f t="shared" si="79"/>
        <v>156366</v>
      </c>
      <c r="AG57">
        <f t="shared" si="80"/>
        <v>38430</v>
      </c>
      <c r="AH57">
        <f t="shared" si="81"/>
        <v>0</v>
      </c>
      <c r="AI57">
        <f t="shared" si="82"/>
        <v>0</v>
      </c>
      <c r="AJ57">
        <v>827.2</v>
      </c>
      <c r="AK57">
        <f t="shared" si="83"/>
        <v>1067902.8499999999</v>
      </c>
      <c r="AL57">
        <f t="shared" si="84"/>
        <v>1.0639967901039138</v>
      </c>
      <c r="AN57">
        <f t="shared" si="85"/>
        <v>5267.84</v>
      </c>
      <c r="AO57">
        <f t="shared" si="86"/>
        <v>1.0402116820030805</v>
      </c>
    </row>
    <row r="58" spans="1:41" x14ac:dyDescent="0.25">
      <c r="A58" s="1">
        <v>45436</v>
      </c>
      <c r="B58">
        <f t="shared" ref="B58:J58" si="115">B36/B$20</f>
        <v>1.2406516191430603</v>
      </c>
      <c r="C58">
        <f t="shared" si="115"/>
        <v>1.0827295779750046</v>
      </c>
      <c r="D58">
        <f t="shared" si="115"/>
        <v>1.1318681318681318</v>
      </c>
      <c r="E58">
        <f t="shared" si="115"/>
        <v>0.99572245986334107</v>
      </c>
      <c r="F58">
        <f t="shared" si="115"/>
        <v>1.0812386889201691</v>
      </c>
      <c r="G58">
        <f t="shared" si="115"/>
        <v>1.0472190337055203</v>
      </c>
      <c r="H58">
        <f t="shared" si="115"/>
        <v>1.0089594127806565</v>
      </c>
      <c r="I58">
        <f t="shared" si="115"/>
        <v>2.5665901695376774E-3</v>
      </c>
      <c r="J58">
        <f t="shared" si="115"/>
        <v>1.0474941747956243</v>
      </c>
      <c r="L58">
        <v>40000</v>
      </c>
      <c r="M58">
        <v>900</v>
      </c>
      <c r="O58">
        <f t="shared" ref="O58:P58" si="116">L58*D36</f>
        <v>123600</v>
      </c>
      <c r="P58">
        <f t="shared" si="116"/>
        <v>161316</v>
      </c>
      <c r="Q58">
        <f t="shared" si="74"/>
        <v>284916</v>
      </c>
      <c r="R58">
        <f t="shared" si="75"/>
        <v>0.92742772882481417</v>
      </c>
      <c r="T58">
        <v>670</v>
      </c>
      <c r="U58">
        <v>200</v>
      </c>
      <c r="V58">
        <v>40000</v>
      </c>
      <c r="W58">
        <v>900</v>
      </c>
      <c r="X58">
        <v>90</v>
      </c>
      <c r="AA58">
        <v>827.2</v>
      </c>
      <c r="AC58">
        <f t="shared" si="76"/>
        <v>713342.3</v>
      </c>
      <c r="AD58">
        <f t="shared" si="77"/>
        <v>95644</v>
      </c>
      <c r="AE58">
        <f t="shared" si="78"/>
        <v>123600</v>
      </c>
      <c r="AF58">
        <f t="shared" si="79"/>
        <v>161316</v>
      </c>
      <c r="AG58">
        <f t="shared" si="80"/>
        <v>38714.400000000001</v>
      </c>
      <c r="AH58">
        <f t="shared" si="81"/>
        <v>0</v>
      </c>
      <c r="AI58">
        <f t="shared" si="82"/>
        <v>0</v>
      </c>
      <c r="AJ58">
        <v>827.2</v>
      </c>
      <c r="AK58">
        <f t="shared" si="83"/>
        <v>1133443.8999999999</v>
      </c>
      <c r="AL58">
        <f t="shared" si="84"/>
        <v>1.1292981111183114</v>
      </c>
      <c r="AN58">
        <f t="shared" si="85"/>
        <v>5304.72</v>
      </c>
      <c r="AO58">
        <f t="shared" si="86"/>
        <v>1.0474941747956243</v>
      </c>
    </row>
    <row r="59" spans="1:41" x14ac:dyDescent="0.25">
      <c r="A59" s="1">
        <v>45440</v>
      </c>
      <c r="B59">
        <f t="shared" ref="B59:J59" si="117">B37/B$20</f>
        <v>1.3272545066828252</v>
      </c>
      <c r="C59">
        <f t="shared" si="117"/>
        <v>1.0865785183843506</v>
      </c>
      <c r="D59">
        <f t="shared" si="117"/>
        <v>1.1465201465201464</v>
      </c>
      <c r="E59">
        <f t="shared" si="117"/>
        <v>0.98188989500583301</v>
      </c>
      <c r="F59">
        <f t="shared" si="117"/>
        <v>1.0816408606474965</v>
      </c>
      <c r="G59">
        <f t="shared" si="117"/>
        <v>1.0409057706355005</v>
      </c>
      <c r="H59">
        <f t="shared" si="117"/>
        <v>0.98981001727115725</v>
      </c>
      <c r="I59">
        <f t="shared" si="117"/>
        <v>2.5665901695376774E-3</v>
      </c>
      <c r="J59">
        <f t="shared" si="117"/>
        <v>1.0477548280083726</v>
      </c>
      <c r="L59">
        <v>40000</v>
      </c>
      <c r="M59">
        <v>900</v>
      </c>
      <c r="O59">
        <f t="shared" ref="O59:P59" si="118">L59*D37</f>
        <v>125200</v>
      </c>
      <c r="P59">
        <f t="shared" si="118"/>
        <v>159075</v>
      </c>
      <c r="Q59">
        <f t="shared" si="74"/>
        <v>284275</v>
      </c>
      <c r="R59">
        <f t="shared" si="75"/>
        <v>0.92534121499555677</v>
      </c>
      <c r="T59">
        <v>670</v>
      </c>
      <c r="U59">
        <v>200</v>
      </c>
      <c r="V59">
        <v>40000</v>
      </c>
      <c r="W59">
        <v>900</v>
      </c>
      <c r="X59">
        <v>90</v>
      </c>
      <c r="AA59">
        <v>827.2</v>
      </c>
      <c r="AC59">
        <f t="shared" si="76"/>
        <v>763136.7</v>
      </c>
      <c r="AD59">
        <f t="shared" si="77"/>
        <v>95984</v>
      </c>
      <c r="AE59">
        <f t="shared" si="78"/>
        <v>125200</v>
      </c>
      <c r="AF59">
        <f t="shared" si="79"/>
        <v>159075</v>
      </c>
      <c r="AG59">
        <f t="shared" si="80"/>
        <v>38728.800000000003</v>
      </c>
      <c r="AH59">
        <f t="shared" si="81"/>
        <v>0</v>
      </c>
      <c r="AI59">
        <f t="shared" si="82"/>
        <v>0</v>
      </c>
      <c r="AJ59">
        <v>827.2</v>
      </c>
      <c r="AK59">
        <f t="shared" si="83"/>
        <v>1182951.7</v>
      </c>
      <c r="AL59">
        <f t="shared" si="84"/>
        <v>1.1786248268257435</v>
      </c>
      <c r="AN59">
        <f t="shared" si="85"/>
        <v>5306.04</v>
      </c>
      <c r="AO59">
        <f t="shared" si="86"/>
        <v>1.0477548280083726</v>
      </c>
    </row>
    <row r="60" spans="1:41" x14ac:dyDescent="0.25">
      <c r="A60" s="1">
        <v>45441</v>
      </c>
      <c r="B60">
        <f t="shared" ref="B60:J60" si="119">B38/B$20</f>
        <v>1.3380216041110737</v>
      </c>
      <c r="C60">
        <f t="shared" si="119"/>
        <v>1.0739902191631951</v>
      </c>
      <c r="D60">
        <f t="shared" si="119"/>
        <v>1.1098901098901097</v>
      </c>
      <c r="E60">
        <f t="shared" si="119"/>
        <v>0.97877895672462645</v>
      </c>
      <c r="F60">
        <f t="shared" si="119"/>
        <v>1.0787502513573297</v>
      </c>
      <c r="G60">
        <f t="shared" si="119"/>
        <v>1.0336533444641554</v>
      </c>
      <c r="H60">
        <f t="shared" si="119"/>
        <v>0.97737478411053547</v>
      </c>
      <c r="I60">
        <f t="shared" si="119"/>
        <v>2.5665901695376774E-3</v>
      </c>
      <c r="J60">
        <f t="shared" si="119"/>
        <v>1.0400359385490305</v>
      </c>
      <c r="L60">
        <v>40000</v>
      </c>
      <c r="M60">
        <v>900</v>
      </c>
      <c r="O60">
        <f t="shared" ref="O60:P60" si="120">L60*D38</f>
        <v>121199.99999999999</v>
      </c>
      <c r="P60">
        <f t="shared" si="120"/>
        <v>158571</v>
      </c>
      <c r="Q60">
        <f t="shared" si="74"/>
        <v>279771</v>
      </c>
      <c r="R60">
        <f t="shared" si="75"/>
        <v>0.9106802816305406</v>
      </c>
      <c r="T60">
        <v>670</v>
      </c>
      <c r="U60">
        <v>200</v>
      </c>
      <c r="V60">
        <v>40000</v>
      </c>
      <c r="W60">
        <v>900</v>
      </c>
      <c r="X60">
        <v>90</v>
      </c>
      <c r="AA60">
        <v>827.2</v>
      </c>
      <c r="AC60">
        <f t="shared" si="76"/>
        <v>769327.5</v>
      </c>
      <c r="AD60">
        <f t="shared" si="77"/>
        <v>94872</v>
      </c>
      <c r="AE60">
        <f t="shared" si="78"/>
        <v>121199.99999999999</v>
      </c>
      <c r="AF60">
        <f t="shared" si="79"/>
        <v>158571</v>
      </c>
      <c r="AG60">
        <f t="shared" si="80"/>
        <v>38625.300000000003</v>
      </c>
      <c r="AH60">
        <f t="shared" si="81"/>
        <v>0</v>
      </c>
      <c r="AI60">
        <f t="shared" si="82"/>
        <v>0</v>
      </c>
      <c r="AJ60">
        <v>827.2</v>
      </c>
      <c r="AK60">
        <f t="shared" si="83"/>
        <v>1183423</v>
      </c>
      <c r="AL60">
        <f t="shared" si="84"/>
        <v>1.1790944029554224</v>
      </c>
      <c r="AN60">
        <f t="shared" si="85"/>
        <v>5266.95</v>
      </c>
      <c r="AO60">
        <f t="shared" si="86"/>
        <v>1.0400359385490305</v>
      </c>
    </row>
    <row r="61" spans="1:41" x14ac:dyDescent="0.25">
      <c r="A61" s="1">
        <v>45442</v>
      </c>
      <c r="B61">
        <f t="shared" ref="B61:J61" si="121">B39/B$20</f>
        <v>1.2876236643089365</v>
      </c>
      <c r="C61">
        <f t="shared" si="121"/>
        <v>1.0574397754030067</v>
      </c>
      <c r="D61">
        <f t="shared" si="121"/>
        <v>1.1538461538461537</v>
      </c>
      <c r="E61">
        <f t="shared" si="121"/>
        <v>0.99322259874451424</v>
      </c>
      <c r="F61">
        <f t="shared" si="121"/>
        <v>1.0423034385682688</v>
      </c>
      <c r="G61">
        <f t="shared" si="121"/>
        <v>1.0400187832620267</v>
      </c>
      <c r="H61">
        <f t="shared" si="121"/>
        <v>0.99512089810017268</v>
      </c>
      <c r="I61">
        <f t="shared" si="121"/>
        <v>2.5665901695376774E-3</v>
      </c>
      <c r="J61">
        <f t="shared" si="121"/>
        <v>1.0338217289996445</v>
      </c>
      <c r="L61">
        <v>40000</v>
      </c>
      <c r="M61">
        <v>900</v>
      </c>
      <c r="O61">
        <f t="shared" ref="O61:P61" si="122">L61*D39</f>
        <v>126000</v>
      </c>
      <c r="P61">
        <f t="shared" si="122"/>
        <v>160911</v>
      </c>
      <c r="Q61">
        <f t="shared" si="74"/>
        <v>286911</v>
      </c>
      <c r="R61">
        <f t="shared" si="75"/>
        <v>0.93392163692055297</v>
      </c>
      <c r="T61">
        <v>670</v>
      </c>
      <c r="U61">
        <v>200</v>
      </c>
      <c r="V61">
        <v>40000</v>
      </c>
      <c r="W61">
        <v>900</v>
      </c>
      <c r="X61">
        <v>90</v>
      </c>
      <c r="AA61">
        <v>827.2</v>
      </c>
      <c r="AC61">
        <f>T61*B39</f>
        <v>740350</v>
      </c>
      <c r="AD61">
        <f t="shared" si="77"/>
        <v>93410</v>
      </c>
      <c r="AE61">
        <f t="shared" si="78"/>
        <v>126000</v>
      </c>
      <c r="AF61">
        <f t="shared" si="79"/>
        <v>160911</v>
      </c>
      <c r="AG61">
        <f t="shared" si="80"/>
        <v>37320.300000000003</v>
      </c>
      <c r="AH61">
        <f t="shared" si="81"/>
        <v>0</v>
      </c>
      <c r="AI61">
        <f t="shared" si="82"/>
        <v>0</v>
      </c>
      <c r="AJ61">
        <v>827.2</v>
      </c>
      <c r="AK61">
        <f t="shared" si="83"/>
        <v>1158818.5</v>
      </c>
      <c r="AL61">
        <f t="shared" si="84"/>
        <v>1.1545798986424958</v>
      </c>
      <c r="AN61">
        <f t="shared" si="85"/>
        <v>5235.4799999999996</v>
      </c>
      <c r="AO61">
        <f t="shared" si="86"/>
        <v>1.0338217289996445</v>
      </c>
    </row>
    <row r="63" spans="1:41" x14ac:dyDescent="0.25">
      <c r="B63" t="s">
        <v>27</v>
      </c>
      <c r="C63" t="s">
        <v>38</v>
      </c>
      <c r="D63" t="s">
        <v>46</v>
      </c>
    </row>
    <row r="64" spans="1:41" x14ac:dyDescent="0.25">
      <c r="A64" s="1">
        <v>45414</v>
      </c>
      <c r="B64" cm="1">
        <f t="array" ref="B64:B83">AL42:AL61</f>
        <v>1</v>
      </c>
      <c r="C64" cm="1">
        <f t="array" ref="C64:C83">R42:R61</f>
        <v>1</v>
      </c>
      <c r="D64" cm="1">
        <f t="array" ref="D64:D83">AO42:AO61</f>
        <v>1</v>
      </c>
    </row>
    <row r="65" spans="1:4" x14ac:dyDescent="0.25">
      <c r="A65" s="1">
        <v>45415</v>
      </c>
      <c r="B65">
        <v>1.0060131848767355</v>
      </c>
      <c r="C65">
        <v>1.0146414028143524</v>
      </c>
      <c r="D65">
        <v>1.0125567710595949</v>
      </c>
    </row>
    <row r="66" spans="1:4" x14ac:dyDescent="0.25">
      <c r="A66" s="1">
        <v>45418</v>
      </c>
      <c r="B66">
        <v>1.0156675624979625</v>
      </c>
      <c r="C66">
        <v>1.0300282216457093</v>
      </c>
      <c r="D66">
        <v>1.0230125192527941</v>
      </c>
    </row>
    <row r="67" spans="1:4" x14ac:dyDescent="0.25">
      <c r="A67" s="1">
        <v>45419</v>
      </c>
      <c r="B67">
        <v>1.0088230893801151</v>
      </c>
      <c r="C67">
        <v>1.0064450817190791</v>
      </c>
      <c r="D67">
        <v>1.0243868725563761</v>
      </c>
    </row>
    <row r="68" spans="1:4" x14ac:dyDescent="0.25">
      <c r="A68" s="1">
        <v>45420</v>
      </c>
      <c r="B68">
        <v>1.0118275396825209</v>
      </c>
      <c r="C68">
        <v>1.0005891716116937</v>
      </c>
      <c r="D68">
        <v>1.0243809486197228</v>
      </c>
    </row>
    <row r="69" spans="1:4" x14ac:dyDescent="0.25">
      <c r="A69" s="1">
        <v>45421</v>
      </c>
      <c r="B69">
        <v>1.01923054237129</v>
      </c>
      <c r="C69">
        <v>1.015481216492899</v>
      </c>
      <c r="D69">
        <v>1.0295959875202401</v>
      </c>
    </row>
    <row r="70" spans="1:4" x14ac:dyDescent="0.25">
      <c r="A70" s="1">
        <v>45422</v>
      </c>
      <c r="B70">
        <v>1.0075290399907095</v>
      </c>
      <c r="C70">
        <v>0.97170023208804368</v>
      </c>
      <c r="D70">
        <v>1.0312941826942066</v>
      </c>
    </row>
    <row r="71" spans="1:4" x14ac:dyDescent="0.25">
      <c r="A71" s="1">
        <v>45425</v>
      </c>
      <c r="B71">
        <v>1.0168985234924368</v>
      </c>
      <c r="C71">
        <v>1.0073825481509449</v>
      </c>
      <c r="D71">
        <v>1.031045377354765</v>
      </c>
    </row>
    <row r="72" spans="1:4" x14ac:dyDescent="0.25">
      <c r="A72" s="1">
        <v>45426</v>
      </c>
      <c r="B72">
        <v>1.0401543087141933</v>
      </c>
      <c r="C72">
        <v>1.0523874470640699</v>
      </c>
      <c r="D72">
        <v>1.0360333320169031</v>
      </c>
    </row>
    <row r="73" spans="1:4" x14ac:dyDescent="0.25">
      <c r="A73" s="1">
        <v>45427</v>
      </c>
      <c r="B73">
        <v>1.0477998809012259</v>
      </c>
      <c r="C73">
        <v>1.030526250687638</v>
      </c>
      <c r="D73">
        <v>1.0481714782196596</v>
      </c>
    </row>
    <row r="74" spans="1:4" x14ac:dyDescent="0.25">
      <c r="A74" s="1">
        <v>45428</v>
      </c>
      <c r="B74">
        <v>1.0464591429112757</v>
      </c>
      <c r="C74">
        <v>1.0348717982103506</v>
      </c>
      <c r="D74">
        <v>1.0459894948856681</v>
      </c>
    </row>
    <row r="75" spans="1:4" x14ac:dyDescent="0.25">
      <c r="A75" s="1">
        <v>45429</v>
      </c>
      <c r="B75">
        <v>1.034471441202772</v>
      </c>
      <c r="C75">
        <v>1.0351387157360903</v>
      </c>
      <c r="D75">
        <v>1.0472078511907115</v>
      </c>
    </row>
    <row r="76" spans="1:4" x14ac:dyDescent="0.25">
      <c r="A76" s="1">
        <v>45432</v>
      </c>
      <c r="B76">
        <v>1.0465252402599772</v>
      </c>
      <c r="C76">
        <v>1.0274534440498551</v>
      </c>
      <c r="D76">
        <v>1.0481675289285575</v>
      </c>
    </row>
    <row r="77" spans="1:4" x14ac:dyDescent="0.25">
      <c r="A77" s="1">
        <v>45433</v>
      </c>
      <c r="B77">
        <v>1.0590334212266665</v>
      </c>
      <c r="C77">
        <v>1.0574491147777911</v>
      </c>
      <c r="D77">
        <v>1.0507898582204493</v>
      </c>
    </row>
    <row r="78" spans="1:4" x14ac:dyDescent="0.25">
      <c r="A78" s="1">
        <v>45434</v>
      </c>
      <c r="B78">
        <v>1.0547049117045435</v>
      </c>
      <c r="C78">
        <v>1.0498354551106568</v>
      </c>
      <c r="D78">
        <v>1.0479463686268315</v>
      </c>
    </row>
    <row r="79" spans="1:4" x14ac:dyDescent="0.25">
      <c r="A79" s="1">
        <v>45435</v>
      </c>
      <c r="B79">
        <v>1.0639967901039138</v>
      </c>
      <c r="C79">
        <v>0.89959669412879095</v>
      </c>
      <c r="D79">
        <v>1.0402116820030805</v>
      </c>
    </row>
    <row r="80" spans="1:4" x14ac:dyDescent="0.25">
      <c r="A80" s="1">
        <v>45436</v>
      </c>
      <c r="B80">
        <v>1.1292981111183114</v>
      </c>
      <c r="C80">
        <v>0.92742772882481417</v>
      </c>
      <c r="D80">
        <v>1.0474941747956243</v>
      </c>
    </row>
    <row r="81" spans="1:4" x14ac:dyDescent="0.25">
      <c r="A81" s="1">
        <v>45440</v>
      </c>
      <c r="B81">
        <v>1.1786248268257435</v>
      </c>
      <c r="C81">
        <v>0.92534121499555677</v>
      </c>
      <c r="D81">
        <v>1.0477548280083726</v>
      </c>
    </row>
    <row r="82" spans="1:4" x14ac:dyDescent="0.25">
      <c r="A82" s="1">
        <v>45441</v>
      </c>
      <c r="B82">
        <v>1.1790944029554224</v>
      </c>
      <c r="C82">
        <v>0.9106802816305406</v>
      </c>
      <c r="D82">
        <v>1.0400359385490305</v>
      </c>
    </row>
    <row r="83" spans="1:4" x14ac:dyDescent="0.25">
      <c r="A83" s="1">
        <v>45442</v>
      </c>
      <c r="B83">
        <v>1.1545798986424958</v>
      </c>
      <c r="C83">
        <v>0.93392163692055297</v>
      </c>
      <c r="D83">
        <v>1.0338217289996445</v>
      </c>
    </row>
  </sheetData>
  <mergeCells count="4">
    <mergeCell ref="AQ18:AS18"/>
    <mergeCell ref="AT18:AV18"/>
    <mergeCell ref="AQ25:AS25"/>
    <mergeCell ref="AT25:AV2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90A69-5AD6-4685-A22C-9D6E41971B74}">
  <dimension ref="A1:H12"/>
  <sheetViews>
    <sheetView tabSelected="1" workbookViewId="0">
      <selection activeCell="N6" sqref="N6"/>
    </sheetView>
  </sheetViews>
  <sheetFormatPr defaultRowHeight="15" x14ac:dyDescent="0.25"/>
  <cols>
    <col min="1" max="1" width="9.5703125" bestFit="1" customWidth="1"/>
    <col min="2" max="2" width="11.42578125" bestFit="1" customWidth="1"/>
    <col min="3" max="4" width="10.42578125" bestFit="1" customWidth="1"/>
    <col min="5" max="5" width="8.42578125" bestFit="1" customWidth="1"/>
    <col min="6" max="6" width="10.85546875" style="3" bestFit="1" customWidth="1"/>
    <col min="7" max="7" width="18.42578125" style="3" bestFit="1" customWidth="1"/>
    <col min="8" max="8" width="41.140625" customWidth="1"/>
  </cols>
  <sheetData>
    <row r="1" spans="1:8" x14ac:dyDescent="0.25">
      <c r="A1" s="5" t="s">
        <v>11</v>
      </c>
      <c r="B1" s="14" t="s">
        <v>12</v>
      </c>
      <c r="C1" s="14" t="s">
        <v>13</v>
      </c>
      <c r="D1" s="14" t="s">
        <v>14</v>
      </c>
      <c r="E1" s="14" t="s">
        <v>15</v>
      </c>
      <c r="F1" s="15" t="s">
        <v>16</v>
      </c>
      <c r="G1" s="15" t="s">
        <v>17</v>
      </c>
      <c r="H1" s="16" t="s">
        <v>18</v>
      </c>
    </row>
    <row r="2" spans="1:8" ht="165" x14ac:dyDescent="0.25">
      <c r="A2" s="6">
        <v>1</v>
      </c>
      <c r="B2" s="4" t="s">
        <v>0</v>
      </c>
      <c r="C2" s="4" t="s">
        <v>19</v>
      </c>
      <c r="D2" s="4" t="s">
        <v>20</v>
      </c>
      <c r="E2" s="4">
        <v>356</v>
      </c>
      <c r="F2" s="13">
        <v>896.32</v>
      </c>
      <c r="G2" s="13">
        <f>F2*E2</f>
        <v>319089.92000000004</v>
      </c>
      <c r="H2" s="17" t="s">
        <v>21</v>
      </c>
    </row>
    <row r="3" spans="1:8" x14ac:dyDescent="0.25">
      <c r="A3" s="6">
        <v>2</v>
      </c>
      <c r="B3" s="4" t="s">
        <v>5</v>
      </c>
      <c r="C3" s="4" t="s">
        <v>10</v>
      </c>
      <c r="D3" s="4" t="s">
        <v>23</v>
      </c>
      <c r="E3" s="4">
        <v>1000</v>
      </c>
      <c r="F3" s="13">
        <v>202.245</v>
      </c>
      <c r="G3" s="13">
        <f t="shared" ref="G3:G12" si="0">F3*E3</f>
        <v>202245</v>
      </c>
      <c r="H3" s="18" t="s">
        <v>24</v>
      </c>
    </row>
    <row r="4" spans="1:8" ht="93.75" customHeight="1" x14ac:dyDescent="0.25">
      <c r="A4" s="6">
        <v>3</v>
      </c>
      <c r="B4" s="4" t="s">
        <v>6</v>
      </c>
      <c r="C4" s="4" t="s">
        <v>10</v>
      </c>
      <c r="D4" s="4" t="s">
        <v>23</v>
      </c>
      <c r="E4" s="4">
        <v>126</v>
      </c>
      <c r="F4" s="13">
        <v>464.09</v>
      </c>
      <c r="G4" s="13">
        <f t="shared" si="0"/>
        <v>58475.34</v>
      </c>
      <c r="H4" s="18"/>
    </row>
    <row r="5" spans="1:8" ht="81" customHeight="1" x14ac:dyDescent="0.25">
      <c r="A5" s="6">
        <v>4</v>
      </c>
      <c r="B5" s="4" t="s">
        <v>0</v>
      </c>
      <c r="C5" s="4" t="s">
        <v>22</v>
      </c>
      <c r="D5" s="4" t="s">
        <v>20</v>
      </c>
      <c r="E5" s="4">
        <v>279</v>
      </c>
      <c r="F5" s="13">
        <v>943.23</v>
      </c>
      <c r="G5" s="13">
        <f t="shared" si="0"/>
        <v>263161.17</v>
      </c>
      <c r="H5" s="17" t="s">
        <v>25</v>
      </c>
    </row>
    <row r="6" spans="1:8" ht="105" customHeight="1" x14ac:dyDescent="0.25">
      <c r="A6" s="6">
        <v>5</v>
      </c>
      <c r="B6" s="4" t="s">
        <v>3</v>
      </c>
      <c r="C6" s="4" t="s">
        <v>40</v>
      </c>
      <c r="D6" s="4" t="s">
        <v>23</v>
      </c>
      <c r="E6" s="4">
        <v>200</v>
      </c>
      <c r="F6" s="13">
        <v>180.11</v>
      </c>
      <c r="G6" s="13">
        <f t="shared" si="0"/>
        <v>36022</v>
      </c>
      <c r="H6" s="17" t="s">
        <v>42</v>
      </c>
    </row>
    <row r="7" spans="1:8" ht="76.5" customHeight="1" x14ac:dyDescent="0.25">
      <c r="A7" s="6">
        <v>6</v>
      </c>
      <c r="B7" s="4" t="s">
        <v>0</v>
      </c>
      <c r="C7" s="4" t="s">
        <v>40</v>
      </c>
      <c r="D7" s="4" t="s">
        <v>20</v>
      </c>
      <c r="E7" s="4">
        <v>35</v>
      </c>
      <c r="F7" s="13">
        <v>1037.21</v>
      </c>
      <c r="G7" s="13">
        <f t="shared" si="0"/>
        <v>36302.35</v>
      </c>
      <c r="H7" s="17" t="s">
        <v>43</v>
      </c>
    </row>
    <row r="8" spans="1:8" x14ac:dyDescent="0.25">
      <c r="A8" s="6">
        <v>7</v>
      </c>
      <c r="B8" s="4" t="s">
        <v>0</v>
      </c>
      <c r="C8" s="4" t="s">
        <v>44</v>
      </c>
      <c r="D8" s="4" t="s">
        <v>23</v>
      </c>
      <c r="E8" s="4">
        <v>670</v>
      </c>
      <c r="F8" s="13">
        <v>1105</v>
      </c>
      <c r="G8" s="13">
        <f t="shared" si="0"/>
        <v>740350</v>
      </c>
      <c r="H8" s="18" t="s">
        <v>45</v>
      </c>
    </row>
    <row r="9" spans="1:8" x14ac:dyDescent="0.25">
      <c r="A9" s="6">
        <v>8</v>
      </c>
      <c r="B9" s="4" t="s">
        <v>1</v>
      </c>
      <c r="C9" s="4" t="s">
        <v>44</v>
      </c>
      <c r="D9" s="4" t="s">
        <v>23</v>
      </c>
      <c r="E9" s="4">
        <v>200</v>
      </c>
      <c r="F9" s="13">
        <v>467.05</v>
      </c>
      <c r="G9" s="13">
        <f t="shared" si="0"/>
        <v>93410</v>
      </c>
      <c r="H9" s="18"/>
    </row>
    <row r="10" spans="1:8" x14ac:dyDescent="0.25">
      <c r="A10" s="6">
        <v>9</v>
      </c>
      <c r="B10" s="4" t="s">
        <v>4</v>
      </c>
      <c r="C10" s="4" t="s">
        <v>44</v>
      </c>
      <c r="D10" s="4" t="s">
        <v>23</v>
      </c>
      <c r="E10" s="4">
        <v>90</v>
      </c>
      <c r="F10" s="13">
        <v>414.67</v>
      </c>
      <c r="G10" s="13">
        <f t="shared" si="0"/>
        <v>37320.300000000003</v>
      </c>
      <c r="H10" s="18"/>
    </row>
    <row r="11" spans="1:8" x14ac:dyDescent="0.25">
      <c r="A11" s="6">
        <v>10</v>
      </c>
      <c r="B11" s="4" t="s">
        <v>3</v>
      </c>
      <c r="C11" s="4" t="s">
        <v>44</v>
      </c>
      <c r="D11" s="4" t="s">
        <v>23</v>
      </c>
      <c r="E11" s="4">
        <v>900</v>
      </c>
      <c r="F11" s="13">
        <v>178.79</v>
      </c>
      <c r="G11" s="13">
        <f t="shared" si="0"/>
        <v>160911</v>
      </c>
      <c r="H11" s="18"/>
    </row>
    <row r="12" spans="1:8" ht="15.75" thickBot="1" x14ac:dyDescent="0.3">
      <c r="A12" s="8">
        <v>11</v>
      </c>
      <c r="B12" s="9" t="s">
        <v>2</v>
      </c>
      <c r="C12" s="9" t="s">
        <v>44</v>
      </c>
      <c r="D12" s="9" t="s">
        <v>23</v>
      </c>
      <c r="E12" s="9">
        <v>40000</v>
      </c>
      <c r="F12" s="19">
        <v>3.15</v>
      </c>
      <c r="G12" s="19">
        <f t="shared" si="0"/>
        <v>126000</v>
      </c>
      <c r="H12" s="20"/>
    </row>
  </sheetData>
  <mergeCells count="2">
    <mergeCell ref="H3:H4"/>
    <mergeCell ref="H8:H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Data</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Chae</dc:creator>
  <cp:lastModifiedBy>David Chae</cp:lastModifiedBy>
  <dcterms:created xsi:type="dcterms:W3CDTF">2024-05-02T10:52:23Z</dcterms:created>
  <dcterms:modified xsi:type="dcterms:W3CDTF">2024-05-31T02:39:25Z</dcterms:modified>
</cp:coreProperties>
</file>